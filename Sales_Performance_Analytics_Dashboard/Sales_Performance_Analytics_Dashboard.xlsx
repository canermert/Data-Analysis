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aneraydin\Desktop\"/>
    </mc:Choice>
  </mc:AlternateContent>
  <xr:revisionPtr revIDLastSave="0" documentId="13_ncr:1_{2F2094E8-C5FC-4186-9D06-47F5A8E7B64B}" xr6:coauthVersionLast="47" xr6:coauthVersionMax="47" xr10:uidLastSave="{00000000-0000-0000-0000-000000000000}"/>
  <bookViews>
    <workbookView xWindow="-120" yWindow="-120" windowWidth="29040" windowHeight="15720" activeTab="5" xr2:uid="{52AA178E-0A2D-4B9C-B2A5-9EC8D2AA74A6}"/>
  </bookViews>
  <sheets>
    <sheet name="Customers" sheetId="5" r:id="rId1"/>
    <sheet name="Regions" sheetId="6" r:id="rId2"/>
    <sheet name="Products" sheetId="7" r:id="rId3"/>
    <sheet name="Orders" sheetId="3" r:id="rId4"/>
    <sheet name="Pivot" sheetId="11" r:id="rId5"/>
    <sheet name="Dashboard" sheetId="15" r:id="rId6"/>
  </sheets>
  <definedNames>
    <definedName name="_xlcn.WorksheetConnection_exccelchatgbtxlsx.xlsxCustomers" hidden="1">Customers[]</definedName>
    <definedName name="_xlcn.WorksheetConnection_exccelchatgbtxlsx.xlsxOrders" hidden="1">Orders[]</definedName>
    <definedName name="_xlcn.WorksheetConnection_exccelchatgbtxlsx.xlsxProducts" hidden="1">Products[]</definedName>
    <definedName name="_xlcn.WorksheetConnection_exccelchatgbtxlsx.xlsxRegions" hidden="1">Regions[]</definedName>
    <definedName name="Slicer_CategoryNam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s" name="Regions" connection="WorksheetConnection_exccel-chatgbtxlsx.xlsx!Regions"/>
          <x15:modelTable id="Products" name="Products" connection="WorksheetConnection_exccel-chatgbtxlsx.xlsx!Products"/>
          <x15:modelTable id="Orders" name="Orders" connection="WorksheetConnection_exccel-chatgbtxlsx.xlsx!Orders"/>
          <x15:modelTable id="Customers" name="Customers" connection="WorksheetConnection_exccel-chatgbtxlsx.xlsx!Customers"/>
        </x15:modelTables>
        <x15:modelRelationships>
          <x15:modelRelationship fromTable="Orders" fromColumn="CustomerID" toTable="Customers" toColumn="CustomerID"/>
          <x15:modelRelationship fromTable="Orders" fromColumn="ProductID" toTable="Products" toColumn="ProductID"/>
          <x15:modelRelationship fromTable="Customers" fromColumn="RegionID" toTable="Regions" toColumn="Regio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5" l="1"/>
  <c r="D4" i="15"/>
  <c r="N3" i="11"/>
  <c r="L4" i="15" s="1"/>
  <c r="F3" i="3"/>
  <c r="F4" i="3"/>
  <c r="F5" i="3"/>
  <c r="F6" i="3"/>
  <c r="F7" i="3"/>
  <c r="F8" i="3"/>
  <c r="J8" i="3" s="1"/>
  <c r="F9" i="3"/>
  <c r="F10" i="3"/>
  <c r="F11" i="3"/>
  <c r="J11" i="3" s="1"/>
  <c r="F12" i="3"/>
  <c r="J12" i="3" s="1"/>
  <c r="F13" i="3"/>
  <c r="J13" i="3" s="1"/>
  <c r="F14" i="3"/>
  <c r="J14" i="3" s="1"/>
  <c r="F15" i="3"/>
  <c r="F16" i="3"/>
  <c r="F17" i="3"/>
  <c r="F18" i="3"/>
  <c r="F19" i="3"/>
  <c r="F20" i="3"/>
  <c r="J20" i="3" s="1"/>
  <c r="F21" i="3"/>
  <c r="F22" i="3"/>
  <c r="J22" i="3" s="1"/>
  <c r="F23" i="3"/>
  <c r="F24" i="3"/>
  <c r="F25" i="3"/>
  <c r="J25" i="3" s="1"/>
  <c r="F26" i="3"/>
  <c r="J26" i="3" s="1"/>
  <c r="F27" i="3"/>
  <c r="F28" i="3"/>
  <c r="F29" i="3"/>
  <c r="J29" i="3" s="1"/>
  <c r="F30" i="3"/>
  <c r="F31" i="3"/>
  <c r="F32" i="3"/>
  <c r="F33" i="3"/>
  <c r="J33" i="3" s="1"/>
  <c r="F34" i="3"/>
  <c r="J34" i="3" s="1"/>
  <c r="F35" i="3"/>
  <c r="J35" i="3" s="1"/>
  <c r="F36" i="3"/>
  <c r="F37" i="3"/>
  <c r="J37" i="3" s="1"/>
  <c r="F38" i="3"/>
  <c r="J38" i="3" s="1"/>
  <c r="F39" i="3"/>
  <c r="F40" i="3"/>
  <c r="F41" i="3"/>
  <c r="F42" i="3"/>
  <c r="F43" i="3"/>
  <c r="F44" i="3"/>
  <c r="F45" i="3"/>
  <c r="F46" i="3"/>
  <c r="J46" i="3" s="1"/>
  <c r="F47" i="3"/>
  <c r="J47" i="3" s="1"/>
  <c r="F48" i="3"/>
  <c r="J48" i="3" s="1"/>
  <c r="F49" i="3"/>
  <c r="J49" i="3" s="1"/>
  <c r="F50" i="3"/>
  <c r="J50" i="3" s="1"/>
  <c r="F51" i="3"/>
  <c r="F52" i="3"/>
  <c r="F53" i="3"/>
  <c r="F54" i="3"/>
  <c r="F55" i="3"/>
  <c r="F56" i="3"/>
  <c r="J56" i="3" s="1"/>
  <c r="F57" i="3"/>
  <c r="F58" i="3"/>
  <c r="J58" i="3" s="1"/>
  <c r="F59" i="3"/>
  <c r="F60" i="3"/>
  <c r="F61" i="3"/>
  <c r="J61" i="3" s="1"/>
  <c r="F62" i="3"/>
  <c r="J62" i="3" s="1"/>
  <c r="F63" i="3"/>
  <c r="F64" i="3"/>
  <c r="F65" i="3"/>
  <c r="J65" i="3" s="1"/>
  <c r="F66" i="3"/>
  <c r="F67" i="3"/>
  <c r="F68" i="3"/>
  <c r="F69" i="3"/>
  <c r="J69" i="3" s="1"/>
  <c r="F70" i="3"/>
  <c r="J70" i="3" s="1"/>
  <c r="F71" i="3"/>
  <c r="J71" i="3" s="1"/>
  <c r="F72" i="3"/>
  <c r="F73" i="3"/>
  <c r="J73" i="3" s="1"/>
  <c r="F74" i="3"/>
  <c r="J74" i="3" s="1"/>
  <c r="F75" i="3"/>
  <c r="F76" i="3"/>
  <c r="F77" i="3"/>
  <c r="F78" i="3"/>
  <c r="F79" i="3"/>
  <c r="F80" i="3"/>
  <c r="J7" i="3"/>
  <c r="J19" i="3"/>
  <c r="J31" i="3"/>
  <c r="J32" i="3"/>
  <c r="J43" i="3"/>
  <c r="J44" i="3"/>
  <c r="J55" i="3"/>
  <c r="J67" i="3"/>
  <c r="J68" i="3"/>
  <c r="J79" i="3"/>
  <c r="J80" i="3"/>
  <c r="J4" i="3"/>
  <c r="F2"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J2" i="3"/>
  <c r="J3" i="3"/>
  <c r="J5" i="3"/>
  <c r="J6" i="3"/>
  <c r="J9" i="3"/>
  <c r="J10" i="3"/>
  <c r="J15" i="3"/>
  <c r="J16" i="3"/>
  <c r="J17" i="3"/>
  <c r="J18" i="3"/>
  <c r="J21" i="3"/>
  <c r="J23" i="3"/>
  <c r="J24" i="3"/>
  <c r="J27" i="3"/>
  <c r="J28" i="3"/>
  <c r="J30" i="3"/>
  <c r="J36" i="3"/>
  <c r="J39" i="3"/>
  <c r="J40" i="3"/>
  <c r="J41" i="3"/>
  <c r="J42" i="3"/>
  <c r="J45" i="3"/>
  <c r="J51" i="3"/>
  <c r="J52" i="3"/>
  <c r="J53" i="3"/>
  <c r="J54" i="3"/>
  <c r="J57" i="3"/>
  <c r="J59" i="3"/>
  <c r="J60" i="3"/>
  <c r="J63" i="3"/>
  <c r="J64" i="3"/>
  <c r="J66" i="3"/>
  <c r="J72" i="3"/>
  <c r="J75" i="3"/>
  <c r="J76" i="3"/>
  <c r="J77" i="3"/>
  <c r="J7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81" i="3"/>
  <c r="D82" i="3"/>
  <c r="F82" i="3" s="1"/>
  <c r="D83" i="3"/>
  <c r="F83" i="3" s="1"/>
  <c r="D84" i="3"/>
  <c r="F84" i="3" s="1"/>
  <c r="D85" i="3"/>
  <c r="F85" i="3" s="1"/>
  <c r="D86" i="3"/>
  <c r="F86" i="3" s="1"/>
  <c r="D87" i="3"/>
  <c r="F87" i="3" s="1"/>
  <c r="D88" i="3"/>
  <c r="F88" i="3" s="1"/>
  <c r="D89" i="3"/>
  <c r="F89" i="3" s="1"/>
  <c r="D90" i="3"/>
  <c r="F90" i="3" s="1"/>
  <c r="D91" i="3"/>
  <c r="F91" i="3" s="1"/>
  <c r="D92" i="3"/>
  <c r="F92" i="3" s="1"/>
  <c r="D93" i="3"/>
  <c r="F93" i="3" s="1"/>
  <c r="D94" i="3"/>
  <c r="F94" i="3" s="1"/>
  <c r="D95" i="3"/>
  <c r="F95" i="3" s="1"/>
  <c r="D96" i="3"/>
  <c r="F96" i="3" s="1"/>
  <c r="D97" i="3"/>
  <c r="F97" i="3" s="1"/>
  <c r="D98" i="3"/>
  <c r="F98" i="3" s="1"/>
  <c r="D99" i="3"/>
  <c r="F99" i="3" s="1"/>
  <c r="D100" i="3"/>
  <c r="F100" i="3" s="1"/>
  <c r="D101" i="3"/>
  <c r="F101" i="3" s="1"/>
  <c r="D102" i="3"/>
  <c r="F102" i="3" s="1"/>
  <c r="D103" i="3"/>
  <c r="F103" i="3" s="1"/>
  <c r="D104" i="3"/>
  <c r="F104" i="3" s="1"/>
  <c r="D105" i="3"/>
  <c r="F105" i="3" s="1"/>
  <c r="D106" i="3"/>
  <c r="F106" i="3" s="1"/>
  <c r="D107" i="3"/>
  <c r="F107" i="3" s="1"/>
  <c r="D108" i="3"/>
  <c r="F108" i="3" s="1"/>
  <c r="D109" i="3"/>
  <c r="F109" i="3" s="1"/>
  <c r="D110" i="3"/>
  <c r="F110" i="3" s="1"/>
  <c r="D111" i="3"/>
  <c r="F111" i="3" s="1"/>
  <c r="D112" i="3"/>
  <c r="F112" i="3" s="1"/>
  <c r="D113" i="3"/>
  <c r="F113" i="3" s="1"/>
  <c r="D114" i="3"/>
  <c r="F114" i="3" s="1"/>
  <c r="D115" i="3"/>
  <c r="F115" i="3" s="1"/>
  <c r="D116" i="3"/>
  <c r="F116" i="3" s="1"/>
  <c r="D117" i="3"/>
  <c r="F117" i="3" s="1"/>
  <c r="D118" i="3"/>
  <c r="F118" i="3" s="1"/>
  <c r="D119" i="3"/>
  <c r="F119" i="3" s="1"/>
  <c r="D120" i="3"/>
  <c r="F120" i="3" s="1"/>
  <c r="D121" i="3"/>
  <c r="F121" i="3" s="1"/>
  <c r="D122" i="3"/>
  <c r="F122" i="3" s="1"/>
  <c r="D123" i="3"/>
  <c r="F123" i="3" s="1"/>
  <c r="D124" i="3"/>
  <c r="F124" i="3" s="1"/>
  <c r="D125" i="3"/>
  <c r="F125" i="3" s="1"/>
  <c r="D126" i="3"/>
  <c r="F126" i="3" s="1"/>
  <c r="D127" i="3"/>
  <c r="F127" i="3" s="1"/>
  <c r="D128" i="3"/>
  <c r="F128" i="3" s="1"/>
  <c r="D129" i="3"/>
  <c r="F129" i="3" s="1"/>
  <c r="D130" i="3"/>
  <c r="F130" i="3" s="1"/>
  <c r="D131" i="3"/>
  <c r="F131" i="3" s="1"/>
  <c r="D132" i="3"/>
  <c r="F132" i="3" s="1"/>
  <c r="D133" i="3"/>
  <c r="F133" i="3" s="1"/>
  <c r="D134" i="3"/>
  <c r="F134" i="3" s="1"/>
  <c r="D135" i="3"/>
  <c r="F135" i="3" s="1"/>
  <c r="D136" i="3"/>
  <c r="F136" i="3" s="1"/>
  <c r="D137" i="3"/>
  <c r="F137" i="3" s="1"/>
  <c r="D138" i="3"/>
  <c r="F138" i="3" s="1"/>
  <c r="D139" i="3"/>
  <c r="F139" i="3" s="1"/>
  <c r="D140" i="3"/>
  <c r="F140" i="3" s="1"/>
  <c r="D141" i="3"/>
  <c r="F141" i="3" s="1"/>
  <c r="D142" i="3"/>
  <c r="F142" i="3" s="1"/>
  <c r="D143" i="3"/>
  <c r="F143" i="3" s="1"/>
  <c r="D144" i="3"/>
  <c r="F144" i="3" s="1"/>
  <c r="D145" i="3"/>
  <c r="F145" i="3" s="1"/>
  <c r="D146" i="3"/>
  <c r="F146" i="3" s="1"/>
  <c r="D147" i="3"/>
  <c r="F147" i="3" s="1"/>
  <c r="D148" i="3"/>
  <c r="F148" i="3" s="1"/>
  <c r="D149" i="3"/>
  <c r="F149" i="3" s="1"/>
  <c r="D150" i="3"/>
  <c r="F150" i="3" s="1"/>
  <c r="D151" i="3"/>
  <c r="F151" i="3" s="1"/>
  <c r="D152" i="3"/>
  <c r="F152" i="3" s="1"/>
  <c r="D153" i="3"/>
  <c r="F153" i="3" s="1"/>
  <c r="D154" i="3"/>
  <c r="F154" i="3" s="1"/>
  <c r="D155" i="3"/>
  <c r="F155" i="3" s="1"/>
  <c r="D156" i="3"/>
  <c r="F156" i="3" s="1"/>
  <c r="D157" i="3"/>
  <c r="F157" i="3" s="1"/>
  <c r="D158" i="3"/>
  <c r="F158" i="3" s="1"/>
  <c r="D159" i="3"/>
  <c r="F159" i="3" s="1"/>
  <c r="D160" i="3"/>
  <c r="F160" i="3" s="1"/>
  <c r="D161" i="3"/>
  <c r="F161" i="3" s="1"/>
  <c r="D162" i="3"/>
  <c r="F162" i="3" s="1"/>
  <c r="D163" i="3"/>
  <c r="F163" i="3" s="1"/>
  <c r="D164" i="3"/>
  <c r="F164" i="3" s="1"/>
  <c r="D165" i="3"/>
  <c r="F165" i="3" s="1"/>
  <c r="D166" i="3"/>
  <c r="F166" i="3" s="1"/>
  <c r="D167" i="3"/>
  <c r="F167" i="3" s="1"/>
  <c r="D168" i="3"/>
  <c r="F168" i="3" s="1"/>
  <c r="D169" i="3"/>
  <c r="F169" i="3" s="1"/>
  <c r="D170" i="3"/>
  <c r="F170" i="3" s="1"/>
  <c r="D171" i="3"/>
  <c r="F171" i="3" s="1"/>
  <c r="D172" i="3"/>
  <c r="F172" i="3" s="1"/>
  <c r="D173" i="3"/>
  <c r="F173" i="3" s="1"/>
  <c r="D174" i="3"/>
  <c r="F174" i="3" s="1"/>
  <c r="D175" i="3"/>
  <c r="F175" i="3" s="1"/>
  <c r="D176" i="3"/>
  <c r="F176" i="3" s="1"/>
  <c r="D177" i="3"/>
  <c r="F177" i="3" s="1"/>
  <c r="D178" i="3"/>
  <c r="F178" i="3" s="1"/>
  <c r="D179" i="3"/>
  <c r="F179" i="3" s="1"/>
  <c r="D180" i="3"/>
  <c r="F180" i="3" s="1"/>
  <c r="D181" i="3"/>
  <c r="F181" i="3" s="1"/>
  <c r="D182" i="3"/>
  <c r="F182" i="3" s="1"/>
  <c r="D183" i="3"/>
  <c r="F183" i="3" s="1"/>
  <c r="D184" i="3"/>
  <c r="F184" i="3" s="1"/>
  <c r="D185" i="3"/>
  <c r="F185" i="3" s="1"/>
  <c r="D186" i="3"/>
  <c r="F186" i="3" s="1"/>
  <c r="D187" i="3"/>
  <c r="F187" i="3" s="1"/>
  <c r="D188" i="3"/>
  <c r="F188" i="3" s="1"/>
  <c r="D189" i="3"/>
  <c r="F189" i="3" s="1"/>
  <c r="D190" i="3"/>
  <c r="F190" i="3" s="1"/>
  <c r="D191" i="3"/>
  <c r="F191" i="3" s="1"/>
  <c r="D192" i="3"/>
  <c r="F192" i="3" s="1"/>
  <c r="D193" i="3"/>
  <c r="F193" i="3" s="1"/>
  <c r="D194" i="3"/>
  <c r="F194" i="3" s="1"/>
  <c r="D195" i="3"/>
  <c r="F195" i="3" s="1"/>
  <c r="D196" i="3"/>
  <c r="F196" i="3" s="1"/>
  <c r="D197" i="3"/>
  <c r="F197" i="3" s="1"/>
  <c r="D198" i="3"/>
  <c r="F198" i="3" s="1"/>
  <c r="D199" i="3"/>
  <c r="F199" i="3" s="1"/>
  <c r="D200" i="3"/>
  <c r="F200" i="3" s="1"/>
  <c r="D201" i="3"/>
  <c r="F201" i="3" s="1"/>
  <c r="D202" i="3"/>
  <c r="F202" i="3" s="1"/>
  <c r="D203" i="3"/>
  <c r="F203" i="3" s="1"/>
  <c r="D204" i="3"/>
  <c r="F204" i="3" s="1"/>
  <c r="D205" i="3"/>
  <c r="F205" i="3" s="1"/>
  <c r="D206" i="3"/>
  <c r="F206" i="3" s="1"/>
  <c r="D207" i="3"/>
  <c r="F207" i="3" s="1"/>
  <c r="D208" i="3"/>
  <c r="F208" i="3" s="1"/>
  <c r="D209" i="3"/>
  <c r="F209" i="3" s="1"/>
  <c r="D210" i="3"/>
  <c r="F210" i="3" s="1"/>
  <c r="D211" i="3"/>
  <c r="F211" i="3" s="1"/>
  <c r="D212" i="3"/>
  <c r="F212" i="3" s="1"/>
  <c r="D213" i="3"/>
  <c r="F213" i="3" s="1"/>
  <c r="D214" i="3"/>
  <c r="F214" i="3" s="1"/>
  <c r="D215" i="3"/>
  <c r="F215" i="3" s="1"/>
  <c r="D216" i="3"/>
  <c r="F216" i="3" s="1"/>
  <c r="D217" i="3"/>
  <c r="F217" i="3" s="1"/>
  <c r="D218" i="3"/>
  <c r="F218" i="3" s="1"/>
  <c r="D219" i="3"/>
  <c r="F219" i="3" s="1"/>
  <c r="D220" i="3"/>
  <c r="F220" i="3" s="1"/>
  <c r="D221" i="3"/>
  <c r="F221" i="3" s="1"/>
  <c r="D222" i="3"/>
  <c r="F222" i="3" s="1"/>
  <c r="D223" i="3"/>
  <c r="F223" i="3" s="1"/>
  <c r="D224" i="3"/>
  <c r="F224" i="3" s="1"/>
  <c r="D225" i="3"/>
  <c r="F225" i="3" s="1"/>
  <c r="D226" i="3"/>
  <c r="F226" i="3" s="1"/>
  <c r="D227" i="3"/>
  <c r="F227" i="3" s="1"/>
  <c r="D228" i="3"/>
  <c r="F228" i="3" s="1"/>
  <c r="D229" i="3"/>
  <c r="F229" i="3" s="1"/>
  <c r="D230" i="3"/>
  <c r="F230" i="3" s="1"/>
  <c r="D231" i="3"/>
  <c r="F231" i="3" s="1"/>
  <c r="D232" i="3"/>
  <c r="F232" i="3" s="1"/>
  <c r="D233" i="3"/>
  <c r="F233" i="3" s="1"/>
  <c r="D234" i="3"/>
  <c r="F234" i="3" s="1"/>
  <c r="D235" i="3"/>
  <c r="F235" i="3" s="1"/>
  <c r="D236" i="3"/>
  <c r="F236" i="3" s="1"/>
  <c r="D237" i="3"/>
  <c r="F237" i="3" s="1"/>
  <c r="D238" i="3"/>
  <c r="F238" i="3" s="1"/>
  <c r="D239" i="3"/>
  <c r="F239" i="3" s="1"/>
  <c r="D240" i="3"/>
  <c r="F240" i="3" s="1"/>
  <c r="D241" i="3"/>
  <c r="F241" i="3" s="1"/>
  <c r="D242" i="3"/>
  <c r="F242" i="3" s="1"/>
  <c r="D243" i="3"/>
  <c r="F243" i="3" s="1"/>
  <c r="D244" i="3"/>
  <c r="F244" i="3" s="1"/>
  <c r="D245" i="3"/>
  <c r="F245" i="3" s="1"/>
  <c r="D246" i="3"/>
  <c r="F246" i="3" s="1"/>
  <c r="D247" i="3"/>
  <c r="F247" i="3" s="1"/>
  <c r="D248" i="3"/>
  <c r="F248" i="3" s="1"/>
  <c r="D249" i="3"/>
  <c r="F249" i="3" s="1"/>
  <c r="D250" i="3"/>
  <c r="F250" i="3" s="1"/>
  <c r="D251" i="3"/>
  <c r="F251" i="3" s="1"/>
  <c r="D252" i="3"/>
  <c r="F252" i="3" s="1"/>
  <c r="D253" i="3"/>
  <c r="F253" i="3" s="1"/>
  <c r="D254" i="3"/>
  <c r="F254" i="3" s="1"/>
  <c r="D255" i="3"/>
  <c r="F255" i="3" s="1"/>
  <c r="D256" i="3"/>
  <c r="F256" i="3" s="1"/>
  <c r="D257" i="3"/>
  <c r="F257" i="3" s="1"/>
  <c r="D258" i="3"/>
  <c r="F258" i="3" s="1"/>
  <c r="D259" i="3"/>
  <c r="F259" i="3" s="1"/>
  <c r="D260" i="3"/>
  <c r="F260" i="3" s="1"/>
  <c r="D261" i="3"/>
  <c r="F261" i="3" s="1"/>
  <c r="D262" i="3"/>
  <c r="F262" i="3" s="1"/>
  <c r="D263" i="3"/>
  <c r="F263" i="3" s="1"/>
  <c r="D264" i="3"/>
  <c r="F264" i="3" s="1"/>
  <c r="D265" i="3"/>
  <c r="F265" i="3" s="1"/>
  <c r="D266" i="3"/>
  <c r="F266" i="3" s="1"/>
  <c r="D267" i="3"/>
  <c r="F267" i="3" s="1"/>
  <c r="D268" i="3"/>
  <c r="F268" i="3" s="1"/>
  <c r="D269" i="3"/>
  <c r="F269" i="3" s="1"/>
  <c r="D270" i="3"/>
  <c r="F270" i="3" s="1"/>
  <c r="D271" i="3"/>
  <c r="F271" i="3" s="1"/>
  <c r="D272" i="3"/>
  <c r="F272" i="3" s="1"/>
  <c r="D273" i="3"/>
  <c r="F273" i="3" s="1"/>
  <c r="D274" i="3"/>
  <c r="F274" i="3" s="1"/>
  <c r="D275" i="3"/>
  <c r="F275" i="3" s="1"/>
  <c r="D276" i="3"/>
  <c r="F276" i="3" s="1"/>
  <c r="D277" i="3"/>
  <c r="F277" i="3" s="1"/>
  <c r="D278" i="3"/>
  <c r="F278" i="3" s="1"/>
  <c r="D279" i="3"/>
  <c r="F279" i="3" s="1"/>
  <c r="D280" i="3"/>
  <c r="F280" i="3" s="1"/>
  <c r="D281" i="3"/>
  <c r="F281" i="3" s="1"/>
  <c r="D282" i="3"/>
  <c r="F282" i="3" s="1"/>
  <c r="D283" i="3"/>
  <c r="F283" i="3" s="1"/>
  <c r="D284" i="3"/>
  <c r="F284" i="3" s="1"/>
  <c r="D285" i="3"/>
  <c r="F285" i="3" s="1"/>
  <c r="D286" i="3"/>
  <c r="F286" i="3" s="1"/>
  <c r="D287" i="3"/>
  <c r="F287" i="3" s="1"/>
  <c r="D288" i="3"/>
  <c r="F288" i="3" s="1"/>
  <c r="D289" i="3"/>
  <c r="F289" i="3" s="1"/>
  <c r="D290" i="3"/>
  <c r="F290" i="3" s="1"/>
  <c r="D291" i="3"/>
  <c r="F291" i="3" s="1"/>
  <c r="D292" i="3"/>
  <c r="F292" i="3" s="1"/>
  <c r="D293" i="3"/>
  <c r="F293" i="3" s="1"/>
  <c r="D294" i="3"/>
  <c r="F294" i="3" s="1"/>
  <c r="D295" i="3"/>
  <c r="F295" i="3" s="1"/>
  <c r="D296" i="3"/>
  <c r="F296" i="3" s="1"/>
  <c r="D297" i="3"/>
  <c r="F297" i="3" s="1"/>
  <c r="D298" i="3"/>
  <c r="F298" i="3" s="1"/>
  <c r="D299" i="3"/>
  <c r="F299" i="3" s="1"/>
  <c r="D300" i="3"/>
  <c r="F300" i="3" s="1"/>
  <c r="D301" i="3"/>
  <c r="F301" i="3" s="1"/>
  <c r="D302" i="3"/>
  <c r="F302" i="3" s="1"/>
  <c r="D303" i="3"/>
  <c r="F303" i="3" s="1"/>
  <c r="D304" i="3"/>
  <c r="F304" i="3" s="1"/>
  <c r="D305" i="3"/>
  <c r="F305" i="3" s="1"/>
  <c r="D306" i="3"/>
  <c r="F306" i="3" s="1"/>
  <c r="D307" i="3"/>
  <c r="F307" i="3" s="1"/>
  <c r="D308" i="3"/>
  <c r="F308" i="3" s="1"/>
  <c r="D309" i="3"/>
  <c r="F309" i="3" s="1"/>
  <c r="D310" i="3"/>
  <c r="F310" i="3" s="1"/>
  <c r="D311" i="3"/>
  <c r="F311" i="3" s="1"/>
  <c r="D312" i="3"/>
  <c r="F312" i="3" s="1"/>
  <c r="D313" i="3"/>
  <c r="F313" i="3" s="1"/>
  <c r="D81" i="3"/>
  <c r="F81" i="3" s="1"/>
  <c r="C82" i="3"/>
  <c r="G82" i="3" s="1"/>
  <c r="N82" i="3" s="1"/>
  <c r="C83" i="3"/>
  <c r="G83" i="3" s="1"/>
  <c r="N83" i="3" s="1"/>
  <c r="C84" i="3"/>
  <c r="G84" i="3" s="1"/>
  <c r="N84" i="3" s="1"/>
  <c r="C85" i="3"/>
  <c r="G85" i="3" s="1"/>
  <c r="N85" i="3" s="1"/>
  <c r="C86" i="3"/>
  <c r="G86" i="3" s="1"/>
  <c r="N86" i="3" s="1"/>
  <c r="C87" i="3"/>
  <c r="G87" i="3" s="1"/>
  <c r="N87" i="3" s="1"/>
  <c r="C88" i="3"/>
  <c r="G88" i="3" s="1"/>
  <c r="N88" i="3" s="1"/>
  <c r="C89" i="3"/>
  <c r="G89" i="3" s="1"/>
  <c r="N89" i="3" s="1"/>
  <c r="C90" i="3"/>
  <c r="G90" i="3" s="1"/>
  <c r="N90" i="3" s="1"/>
  <c r="C91" i="3"/>
  <c r="G91" i="3" s="1"/>
  <c r="N91" i="3" s="1"/>
  <c r="C92" i="3"/>
  <c r="G92" i="3" s="1"/>
  <c r="N92" i="3" s="1"/>
  <c r="C93" i="3"/>
  <c r="G93" i="3" s="1"/>
  <c r="N93" i="3" s="1"/>
  <c r="C94" i="3"/>
  <c r="G94" i="3" s="1"/>
  <c r="N94" i="3" s="1"/>
  <c r="C95" i="3"/>
  <c r="G95" i="3" s="1"/>
  <c r="N95" i="3" s="1"/>
  <c r="C96" i="3"/>
  <c r="G96" i="3" s="1"/>
  <c r="N96" i="3" s="1"/>
  <c r="C97" i="3"/>
  <c r="G97" i="3" s="1"/>
  <c r="N97" i="3" s="1"/>
  <c r="C98" i="3"/>
  <c r="G98" i="3" s="1"/>
  <c r="N98" i="3" s="1"/>
  <c r="C99" i="3"/>
  <c r="G99" i="3" s="1"/>
  <c r="N99" i="3" s="1"/>
  <c r="C100" i="3"/>
  <c r="G100" i="3" s="1"/>
  <c r="N100" i="3" s="1"/>
  <c r="C101" i="3"/>
  <c r="G101" i="3" s="1"/>
  <c r="N101" i="3" s="1"/>
  <c r="C102" i="3"/>
  <c r="G102" i="3" s="1"/>
  <c r="N102" i="3" s="1"/>
  <c r="C103" i="3"/>
  <c r="G103" i="3" s="1"/>
  <c r="N103" i="3" s="1"/>
  <c r="C104" i="3"/>
  <c r="G104" i="3" s="1"/>
  <c r="N104" i="3" s="1"/>
  <c r="C105" i="3"/>
  <c r="G105" i="3" s="1"/>
  <c r="N105" i="3" s="1"/>
  <c r="C106" i="3"/>
  <c r="G106" i="3" s="1"/>
  <c r="N106" i="3" s="1"/>
  <c r="C107" i="3"/>
  <c r="G107" i="3" s="1"/>
  <c r="N107" i="3" s="1"/>
  <c r="C108" i="3"/>
  <c r="G108" i="3" s="1"/>
  <c r="N108" i="3" s="1"/>
  <c r="C109" i="3"/>
  <c r="G109" i="3" s="1"/>
  <c r="N109" i="3" s="1"/>
  <c r="C110" i="3"/>
  <c r="G110" i="3" s="1"/>
  <c r="N110" i="3" s="1"/>
  <c r="C111" i="3"/>
  <c r="G111" i="3" s="1"/>
  <c r="N111" i="3" s="1"/>
  <c r="C112" i="3"/>
  <c r="G112" i="3" s="1"/>
  <c r="N112" i="3" s="1"/>
  <c r="C113" i="3"/>
  <c r="G113" i="3" s="1"/>
  <c r="N113" i="3" s="1"/>
  <c r="C114" i="3"/>
  <c r="G114" i="3" s="1"/>
  <c r="N114" i="3" s="1"/>
  <c r="C115" i="3"/>
  <c r="G115" i="3" s="1"/>
  <c r="N115" i="3" s="1"/>
  <c r="C116" i="3"/>
  <c r="G116" i="3" s="1"/>
  <c r="N116" i="3" s="1"/>
  <c r="C117" i="3"/>
  <c r="G117" i="3" s="1"/>
  <c r="N117" i="3" s="1"/>
  <c r="C118" i="3"/>
  <c r="G118" i="3" s="1"/>
  <c r="N118" i="3" s="1"/>
  <c r="C119" i="3"/>
  <c r="G119" i="3" s="1"/>
  <c r="N119" i="3" s="1"/>
  <c r="C120" i="3"/>
  <c r="G120" i="3" s="1"/>
  <c r="N120" i="3" s="1"/>
  <c r="C121" i="3"/>
  <c r="G121" i="3" s="1"/>
  <c r="N121" i="3" s="1"/>
  <c r="C122" i="3"/>
  <c r="G122" i="3" s="1"/>
  <c r="N122" i="3" s="1"/>
  <c r="C123" i="3"/>
  <c r="G123" i="3" s="1"/>
  <c r="N123" i="3" s="1"/>
  <c r="C124" i="3"/>
  <c r="G124" i="3" s="1"/>
  <c r="N124" i="3" s="1"/>
  <c r="C125" i="3"/>
  <c r="G125" i="3" s="1"/>
  <c r="N125" i="3" s="1"/>
  <c r="C126" i="3"/>
  <c r="G126" i="3" s="1"/>
  <c r="N126" i="3" s="1"/>
  <c r="C127" i="3"/>
  <c r="G127" i="3" s="1"/>
  <c r="N127" i="3" s="1"/>
  <c r="C128" i="3"/>
  <c r="G128" i="3" s="1"/>
  <c r="N128" i="3" s="1"/>
  <c r="C129" i="3"/>
  <c r="G129" i="3" s="1"/>
  <c r="N129" i="3" s="1"/>
  <c r="C130" i="3"/>
  <c r="G130" i="3" s="1"/>
  <c r="N130" i="3" s="1"/>
  <c r="C131" i="3"/>
  <c r="G131" i="3" s="1"/>
  <c r="N131" i="3" s="1"/>
  <c r="C132" i="3"/>
  <c r="G132" i="3" s="1"/>
  <c r="N132" i="3" s="1"/>
  <c r="C133" i="3"/>
  <c r="G133" i="3" s="1"/>
  <c r="N133" i="3" s="1"/>
  <c r="C134" i="3"/>
  <c r="G134" i="3" s="1"/>
  <c r="N134" i="3" s="1"/>
  <c r="C135" i="3"/>
  <c r="G135" i="3" s="1"/>
  <c r="N135" i="3" s="1"/>
  <c r="C136" i="3"/>
  <c r="G136" i="3" s="1"/>
  <c r="N136" i="3" s="1"/>
  <c r="C137" i="3"/>
  <c r="G137" i="3" s="1"/>
  <c r="N137" i="3" s="1"/>
  <c r="C138" i="3"/>
  <c r="G138" i="3" s="1"/>
  <c r="N138" i="3" s="1"/>
  <c r="C139" i="3"/>
  <c r="G139" i="3" s="1"/>
  <c r="N139" i="3" s="1"/>
  <c r="C140" i="3"/>
  <c r="G140" i="3" s="1"/>
  <c r="N140" i="3" s="1"/>
  <c r="C141" i="3"/>
  <c r="G141" i="3" s="1"/>
  <c r="N141" i="3" s="1"/>
  <c r="C142" i="3"/>
  <c r="G142" i="3" s="1"/>
  <c r="N142" i="3" s="1"/>
  <c r="C143" i="3"/>
  <c r="G143" i="3" s="1"/>
  <c r="N143" i="3" s="1"/>
  <c r="C144" i="3"/>
  <c r="G144" i="3" s="1"/>
  <c r="N144" i="3" s="1"/>
  <c r="C145" i="3"/>
  <c r="G145" i="3" s="1"/>
  <c r="N145" i="3" s="1"/>
  <c r="C146" i="3"/>
  <c r="G146" i="3" s="1"/>
  <c r="N146" i="3" s="1"/>
  <c r="C147" i="3"/>
  <c r="G147" i="3" s="1"/>
  <c r="N147" i="3" s="1"/>
  <c r="C148" i="3"/>
  <c r="G148" i="3" s="1"/>
  <c r="N148" i="3" s="1"/>
  <c r="C149" i="3"/>
  <c r="G149" i="3" s="1"/>
  <c r="N149" i="3" s="1"/>
  <c r="C150" i="3"/>
  <c r="G150" i="3" s="1"/>
  <c r="N150" i="3" s="1"/>
  <c r="C151" i="3"/>
  <c r="G151" i="3" s="1"/>
  <c r="N151" i="3" s="1"/>
  <c r="C152" i="3"/>
  <c r="G152" i="3" s="1"/>
  <c r="N152" i="3" s="1"/>
  <c r="C153" i="3"/>
  <c r="G153" i="3" s="1"/>
  <c r="N153" i="3" s="1"/>
  <c r="C154" i="3"/>
  <c r="G154" i="3" s="1"/>
  <c r="N154" i="3" s="1"/>
  <c r="C155" i="3"/>
  <c r="G155" i="3" s="1"/>
  <c r="N155" i="3" s="1"/>
  <c r="C156" i="3"/>
  <c r="G156" i="3" s="1"/>
  <c r="N156" i="3" s="1"/>
  <c r="C157" i="3"/>
  <c r="G157" i="3" s="1"/>
  <c r="N157" i="3" s="1"/>
  <c r="C158" i="3"/>
  <c r="G158" i="3" s="1"/>
  <c r="N158" i="3" s="1"/>
  <c r="C159" i="3"/>
  <c r="G159" i="3" s="1"/>
  <c r="N159" i="3" s="1"/>
  <c r="C160" i="3"/>
  <c r="G160" i="3" s="1"/>
  <c r="N160" i="3" s="1"/>
  <c r="C161" i="3"/>
  <c r="G161" i="3" s="1"/>
  <c r="N161" i="3" s="1"/>
  <c r="C162" i="3"/>
  <c r="G162" i="3" s="1"/>
  <c r="N162" i="3" s="1"/>
  <c r="C163" i="3"/>
  <c r="G163" i="3" s="1"/>
  <c r="N163" i="3" s="1"/>
  <c r="C164" i="3"/>
  <c r="G164" i="3" s="1"/>
  <c r="N164" i="3" s="1"/>
  <c r="C165" i="3"/>
  <c r="G165" i="3" s="1"/>
  <c r="N165" i="3" s="1"/>
  <c r="C166" i="3"/>
  <c r="G166" i="3" s="1"/>
  <c r="N166" i="3" s="1"/>
  <c r="C167" i="3"/>
  <c r="G167" i="3" s="1"/>
  <c r="N167" i="3" s="1"/>
  <c r="C168" i="3"/>
  <c r="G168" i="3" s="1"/>
  <c r="N168" i="3" s="1"/>
  <c r="C169" i="3"/>
  <c r="G169" i="3" s="1"/>
  <c r="N169" i="3" s="1"/>
  <c r="C170" i="3"/>
  <c r="G170" i="3" s="1"/>
  <c r="N170" i="3" s="1"/>
  <c r="C171" i="3"/>
  <c r="G171" i="3" s="1"/>
  <c r="N171" i="3" s="1"/>
  <c r="C172" i="3"/>
  <c r="G172" i="3" s="1"/>
  <c r="N172" i="3" s="1"/>
  <c r="C173" i="3"/>
  <c r="G173" i="3" s="1"/>
  <c r="N173" i="3" s="1"/>
  <c r="C174" i="3"/>
  <c r="G174" i="3" s="1"/>
  <c r="N174" i="3" s="1"/>
  <c r="C175" i="3"/>
  <c r="G175" i="3" s="1"/>
  <c r="N175" i="3" s="1"/>
  <c r="C176" i="3"/>
  <c r="G176" i="3" s="1"/>
  <c r="N176" i="3" s="1"/>
  <c r="C177" i="3"/>
  <c r="G177" i="3" s="1"/>
  <c r="N177" i="3" s="1"/>
  <c r="C178" i="3"/>
  <c r="G178" i="3" s="1"/>
  <c r="N178" i="3" s="1"/>
  <c r="C179" i="3"/>
  <c r="G179" i="3" s="1"/>
  <c r="N179" i="3" s="1"/>
  <c r="C180" i="3"/>
  <c r="G180" i="3" s="1"/>
  <c r="N180" i="3" s="1"/>
  <c r="C181" i="3"/>
  <c r="G181" i="3" s="1"/>
  <c r="N181" i="3" s="1"/>
  <c r="C182" i="3"/>
  <c r="G182" i="3" s="1"/>
  <c r="N182" i="3" s="1"/>
  <c r="C183" i="3"/>
  <c r="G183" i="3" s="1"/>
  <c r="N183" i="3" s="1"/>
  <c r="C184" i="3"/>
  <c r="G184" i="3" s="1"/>
  <c r="N184" i="3" s="1"/>
  <c r="C185" i="3"/>
  <c r="G185" i="3" s="1"/>
  <c r="N185" i="3" s="1"/>
  <c r="C186" i="3"/>
  <c r="G186" i="3" s="1"/>
  <c r="N186" i="3" s="1"/>
  <c r="C187" i="3"/>
  <c r="G187" i="3" s="1"/>
  <c r="N187" i="3" s="1"/>
  <c r="C188" i="3"/>
  <c r="G188" i="3" s="1"/>
  <c r="N188" i="3" s="1"/>
  <c r="C189" i="3"/>
  <c r="G189" i="3" s="1"/>
  <c r="N189" i="3" s="1"/>
  <c r="C190" i="3"/>
  <c r="G190" i="3" s="1"/>
  <c r="N190" i="3" s="1"/>
  <c r="C191" i="3"/>
  <c r="G191" i="3" s="1"/>
  <c r="N191" i="3" s="1"/>
  <c r="C192" i="3"/>
  <c r="G192" i="3" s="1"/>
  <c r="N192" i="3" s="1"/>
  <c r="C193" i="3"/>
  <c r="G193" i="3" s="1"/>
  <c r="N193" i="3" s="1"/>
  <c r="C194" i="3"/>
  <c r="G194" i="3" s="1"/>
  <c r="N194" i="3" s="1"/>
  <c r="C195" i="3"/>
  <c r="G195" i="3" s="1"/>
  <c r="N195" i="3" s="1"/>
  <c r="C196" i="3"/>
  <c r="G196" i="3" s="1"/>
  <c r="N196" i="3" s="1"/>
  <c r="C197" i="3"/>
  <c r="G197" i="3" s="1"/>
  <c r="N197" i="3" s="1"/>
  <c r="C198" i="3"/>
  <c r="G198" i="3" s="1"/>
  <c r="N198" i="3" s="1"/>
  <c r="C199" i="3"/>
  <c r="G199" i="3" s="1"/>
  <c r="N199" i="3" s="1"/>
  <c r="C200" i="3"/>
  <c r="G200" i="3" s="1"/>
  <c r="N200" i="3" s="1"/>
  <c r="C201" i="3"/>
  <c r="G201" i="3" s="1"/>
  <c r="N201" i="3" s="1"/>
  <c r="C202" i="3"/>
  <c r="G202" i="3" s="1"/>
  <c r="N202" i="3" s="1"/>
  <c r="C203" i="3"/>
  <c r="G203" i="3" s="1"/>
  <c r="N203" i="3" s="1"/>
  <c r="C204" i="3"/>
  <c r="G204" i="3" s="1"/>
  <c r="N204" i="3" s="1"/>
  <c r="C205" i="3"/>
  <c r="G205" i="3" s="1"/>
  <c r="N205" i="3" s="1"/>
  <c r="C206" i="3"/>
  <c r="G206" i="3" s="1"/>
  <c r="N206" i="3" s="1"/>
  <c r="C207" i="3"/>
  <c r="G207" i="3" s="1"/>
  <c r="N207" i="3" s="1"/>
  <c r="C208" i="3"/>
  <c r="G208" i="3" s="1"/>
  <c r="N208" i="3" s="1"/>
  <c r="C209" i="3"/>
  <c r="G209" i="3" s="1"/>
  <c r="N209" i="3" s="1"/>
  <c r="C210" i="3"/>
  <c r="G210" i="3" s="1"/>
  <c r="N210" i="3" s="1"/>
  <c r="C211" i="3"/>
  <c r="G211" i="3" s="1"/>
  <c r="N211" i="3" s="1"/>
  <c r="C212" i="3"/>
  <c r="G212" i="3" s="1"/>
  <c r="N212" i="3" s="1"/>
  <c r="C213" i="3"/>
  <c r="G213" i="3" s="1"/>
  <c r="N213" i="3" s="1"/>
  <c r="C214" i="3"/>
  <c r="G214" i="3" s="1"/>
  <c r="N214" i="3" s="1"/>
  <c r="C215" i="3"/>
  <c r="G215" i="3" s="1"/>
  <c r="N215" i="3" s="1"/>
  <c r="C216" i="3"/>
  <c r="G216" i="3" s="1"/>
  <c r="N216" i="3" s="1"/>
  <c r="C217" i="3"/>
  <c r="G217" i="3" s="1"/>
  <c r="N217" i="3" s="1"/>
  <c r="C218" i="3"/>
  <c r="G218" i="3" s="1"/>
  <c r="N218" i="3" s="1"/>
  <c r="C219" i="3"/>
  <c r="G219" i="3" s="1"/>
  <c r="N219" i="3" s="1"/>
  <c r="C220" i="3"/>
  <c r="G220" i="3" s="1"/>
  <c r="N220" i="3" s="1"/>
  <c r="C221" i="3"/>
  <c r="G221" i="3" s="1"/>
  <c r="N221" i="3" s="1"/>
  <c r="C222" i="3"/>
  <c r="G222" i="3" s="1"/>
  <c r="N222" i="3" s="1"/>
  <c r="C223" i="3"/>
  <c r="G223" i="3" s="1"/>
  <c r="N223" i="3" s="1"/>
  <c r="C224" i="3"/>
  <c r="G224" i="3" s="1"/>
  <c r="N224" i="3" s="1"/>
  <c r="C225" i="3"/>
  <c r="G225" i="3" s="1"/>
  <c r="N225" i="3" s="1"/>
  <c r="C226" i="3"/>
  <c r="G226" i="3" s="1"/>
  <c r="N226" i="3" s="1"/>
  <c r="C227" i="3"/>
  <c r="G227" i="3" s="1"/>
  <c r="N227" i="3" s="1"/>
  <c r="C228" i="3"/>
  <c r="G228" i="3" s="1"/>
  <c r="N228" i="3" s="1"/>
  <c r="C229" i="3"/>
  <c r="G229" i="3" s="1"/>
  <c r="N229" i="3" s="1"/>
  <c r="C230" i="3"/>
  <c r="G230" i="3" s="1"/>
  <c r="N230" i="3" s="1"/>
  <c r="C231" i="3"/>
  <c r="G231" i="3" s="1"/>
  <c r="N231" i="3" s="1"/>
  <c r="C232" i="3"/>
  <c r="G232" i="3" s="1"/>
  <c r="N232" i="3" s="1"/>
  <c r="C233" i="3"/>
  <c r="G233" i="3" s="1"/>
  <c r="N233" i="3" s="1"/>
  <c r="C234" i="3"/>
  <c r="G234" i="3" s="1"/>
  <c r="N234" i="3" s="1"/>
  <c r="C235" i="3"/>
  <c r="G235" i="3" s="1"/>
  <c r="N235" i="3" s="1"/>
  <c r="C236" i="3"/>
  <c r="G236" i="3" s="1"/>
  <c r="N236" i="3" s="1"/>
  <c r="C237" i="3"/>
  <c r="G237" i="3" s="1"/>
  <c r="N237" i="3" s="1"/>
  <c r="C238" i="3"/>
  <c r="G238" i="3" s="1"/>
  <c r="N238" i="3" s="1"/>
  <c r="C239" i="3"/>
  <c r="G239" i="3" s="1"/>
  <c r="N239" i="3" s="1"/>
  <c r="C240" i="3"/>
  <c r="G240" i="3" s="1"/>
  <c r="N240" i="3" s="1"/>
  <c r="C241" i="3"/>
  <c r="G241" i="3" s="1"/>
  <c r="N241" i="3" s="1"/>
  <c r="C242" i="3"/>
  <c r="G242" i="3" s="1"/>
  <c r="N242" i="3" s="1"/>
  <c r="C243" i="3"/>
  <c r="G243" i="3" s="1"/>
  <c r="N243" i="3" s="1"/>
  <c r="C244" i="3"/>
  <c r="G244" i="3" s="1"/>
  <c r="N244" i="3" s="1"/>
  <c r="C245" i="3"/>
  <c r="G245" i="3" s="1"/>
  <c r="N245" i="3" s="1"/>
  <c r="C246" i="3"/>
  <c r="G246" i="3" s="1"/>
  <c r="N246" i="3" s="1"/>
  <c r="C247" i="3"/>
  <c r="G247" i="3" s="1"/>
  <c r="N247" i="3" s="1"/>
  <c r="C248" i="3"/>
  <c r="G248" i="3" s="1"/>
  <c r="N248" i="3" s="1"/>
  <c r="C249" i="3"/>
  <c r="G249" i="3" s="1"/>
  <c r="N249" i="3" s="1"/>
  <c r="C250" i="3"/>
  <c r="G250" i="3" s="1"/>
  <c r="N250" i="3" s="1"/>
  <c r="C251" i="3"/>
  <c r="G251" i="3" s="1"/>
  <c r="N251" i="3" s="1"/>
  <c r="C252" i="3"/>
  <c r="G252" i="3" s="1"/>
  <c r="N252" i="3" s="1"/>
  <c r="C253" i="3"/>
  <c r="G253" i="3" s="1"/>
  <c r="N253" i="3" s="1"/>
  <c r="C254" i="3"/>
  <c r="G254" i="3" s="1"/>
  <c r="N254" i="3" s="1"/>
  <c r="C255" i="3"/>
  <c r="G255" i="3" s="1"/>
  <c r="N255" i="3" s="1"/>
  <c r="C256" i="3"/>
  <c r="G256" i="3" s="1"/>
  <c r="N256" i="3" s="1"/>
  <c r="C257" i="3"/>
  <c r="G257" i="3" s="1"/>
  <c r="N257" i="3" s="1"/>
  <c r="C258" i="3"/>
  <c r="G258" i="3" s="1"/>
  <c r="N258" i="3" s="1"/>
  <c r="C259" i="3"/>
  <c r="G259" i="3" s="1"/>
  <c r="N259" i="3" s="1"/>
  <c r="C260" i="3"/>
  <c r="G260" i="3" s="1"/>
  <c r="N260" i="3" s="1"/>
  <c r="C261" i="3"/>
  <c r="G261" i="3" s="1"/>
  <c r="N261" i="3" s="1"/>
  <c r="C262" i="3"/>
  <c r="G262" i="3" s="1"/>
  <c r="N262" i="3" s="1"/>
  <c r="C263" i="3"/>
  <c r="G263" i="3" s="1"/>
  <c r="N263" i="3" s="1"/>
  <c r="C264" i="3"/>
  <c r="G264" i="3" s="1"/>
  <c r="N264" i="3" s="1"/>
  <c r="C265" i="3"/>
  <c r="G265" i="3" s="1"/>
  <c r="N265" i="3" s="1"/>
  <c r="C266" i="3"/>
  <c r="G266" i="3" s="1"/>
  <c r="N266" i="3" s="1"/>
  <c r="C267" i="3"/>
  <c r="G267" i="3" s="1"/>
  <c r="N267" i="3" s="1"/>
  <c r="C268" i="3"/>
  <c r="G268" i="3" s="1"/>
  <c r="N268" i="3" s="1"/>
  <c r="C269" i="3"/>
  <c r="G269" i="3" s="1"/>
  <c r="N269" i="3" s="1"/>
  <c r="C270" i="3"/>
  <c r="G270" i="3" s="1"/>
  <c r="N270" i="3" s="1"/>
  <c r="C271" i="3"/>
  <c r="G271" i="3" s="1"/>
  <c r="N271" i="3" s="1"/>
  <c r="C272" i="3"/>
  <c r="G272" i="3" s="1"/>
  <c r="N272" i="3" s="1"/>
  <c r="C273" i="3"/>
  <c r="G273" i="3" s="1"/>
  <c r="N273" i="3" s="1"/>
  <c r="C274" i="3"/>
  <c r="G274" i="3" s="1"/>
  <c r="N274" i="3" s="1"/>
  <c r="C275" i="3"/>
  <c r="G275" i="3" s="1"/>
  <c r="N275" i="3" s="1"/>
  <c r="C276" i="3"/>
  <c r="G276" i="3" s="1"/>
  <c r="N276" i="3" s="1"/>
  <c r="C277" i="3"/>
  <c r="G277" i="3" s="1"/>
  <c r="N277" i="3" s="1"/>
  <c r="C278" i="3"/>
  <c r="G278" i="3" s="1"/>
  <c r="N278" i="3" s="1"/>
  <c r="C279" i="3"/>
  <c r="G279" i="3" s="1"/>
  <c r="N279" i="3" s="1"/>
  <c r="C280" i="3"/>
  <c r="G280" i="3" s="1"/>
  <c r="N280" i="3" s="1"/>
  <c r="C281" i="3"/>
  <c r="G281" i="3" s="1"/>
  <c r="N281" i="3" s="1"/>
  <c r="C282" i="3"/>
  <c r="G282" i="3" s="1"/>
  <c r="N282" i="3" s="1"/>
  <c r="C283" i="3"/>
  <c r="G283" i="3" s="1"/>
  <c r="N283" i="3" s="1"/>
  <c r="C284" i="3"/>
  <c r="G284" i="3" s="1"/>
  <c r="N284" i="3" s="1"/>
  <c r="C285" i="3"/>
  <c r="G285" i="3" s="1"/>
  <c r="N285" i="3" s="1"/>
  <c r="C286" i="3"/>
  <c r="G286" i="3" s="1"/>
  <c r="N286" i="3" s="1"/>
  <c r="C287" i="3"/>
  <c r="G287" i="3" s="1"/>
  <c r="N287" i="3" s="1"/>
  <c r="C288" i="3"/>
  <c r="G288" i="3" s="1"/>
  <c r="N288" i="3" s="1"/>
  <c r="C289" i="3"/>
  <c r="G289" i="3" s="1"/>
  <c r="N289" i="3" s="1"/>
  <c r="C290" i="3"/>
  <c r="G290" i="3" s="1"/>
  <c r="N290" i="3" s="1"/>
  <c r="C291" i="3"/>
  <c r="G291" i="3" s="1"/>
  <c r="N291" i="3" s="1"/>
  <c r="C292" i="3"/>
  <c r="G292" i="3" s="1"/>
  <c r="N292" i="3" s="1"/>
  <c r="C293" i="3"/>
  <c r="G293" i="3" s="1"/>
  <c r="N293" i="3" s="1"/>
  <c r="C294" i="3"/>
  <c r="G294" i="3" s="1"/>
  <c r="N294" i="3" s="1"/>
  <c r="C295" i="3"/>
  <c r="G295" i="3" s="1"/>
  <c r="N295" i="3" s="1"/>
  <c r="C296" i="3"/>
  <c r="G296" i="3" s="1"/>
  <c r="N296" i="3" s="1"/>
  <c r="C297" i="3"/>
  <c r="G297" i="3" s="1"/>
  <c r="N297" i="3" s="1"/>
  <c r="C298" i="3"/>
  <c r="G298" i="3" s="1"/>
  <c r="N298" i="3" s="1"/>
  <c r="C299" i="3"/>
  <c r="G299" i="3" s="1"/>
  <c r="N299" i="3" s="1"/>
  <c r="C300" i="3"/>
  <c r="G300" i="3" s="1"/>
  <c r="N300" i="3" s="1"/>
  <c r="C301" i="3"/>
  <c r="G301" i="3" s="1"/>
  <c r="N301" i="3" s="1"/>
  <c r="C302" i="3"/>
  <c r="G302" i="3" s="1"/>
  <c r="N302" i="3" s="1"/>
  <c r="C303" i="3"/>
  <c r="G303" i="3" s="1"/>
  <c r="N303" i="3" s="1"/>
  <c r="C304" i="3"/>
  <c r="G304" i="3" s="1"/>
  <c r="N304" i="3" s="1"/>
  <c r="C305" i="3"/>
  <c r="G305" i="3" s="1"/>
  <c r="N305" i="3" s="1"/>
  <c r="C306" i="3"/>
  <c r="G306" i="3" s="1"/>
  <c r="N306" i="3" s="1"/>
  <c r="C307" i="3"/>
  <c r="G307" i="3" s="1"/>
  <c r="N307" i="3" s="1"/>
  <c r="C308" i="3"/>
  <c r="G308" i="3" s="1"/>
  <c r="N308" i="3" s="1"/>
  <c r="C309" i="3"/>
  <c r="G309" i="3" s="1"/>
  <c r="N309" i="3" s="1"/>
  <c r="C310" i="3"/>
  <c r="G310" i="3" s="1"/>
  <c r="N310" i="3" s="1"/>
  <c r="C311" i="3"/>
  <c r="G311" i="3" s="1"/>
  <c r="N311" i="3" s="1"/>
  <c r="C312" i="3"/>
  <c r="G312" i="3" s="1"/>
  <c r="N312" i="3" s="1"/>
  <c r="C313" i="3"/>
  <c r="G313" i="3" s="1"/>
  <c r="N313" i="3" s="1"/>
  <c r="C81" i="3"/>
  <c r="G81" i="3" s="1"/>
  <c r="N81" i="3" s="1"/>
  <c r="M116" i="3" l="1"/>
  <c r="M142" i="3"/>
  <c r="M118" i="3"/>
  <c r="M105" i="3"/>
  <c r="M92" i="3"/>
  <c r="M297" i="3"/>
  <c r="M262" i="3"/>
  <c r="M260" i="3"/>
  <c r="M236" i="3"/>
  <c r="M203" i="3"/>
  <c r="M201" i="3"/>
  <c r="M177" i="3"/>
  <c r="M296" i="3"/>
  <c r="M261" i="3"/>
  <c r="M229" i="3"/>
  <c r="M202" i="3"/>
  <c r="M176" i="3"/>
  <c r="M143" i="3"/>
  <c r="M117" i="3"/>
  <c r="M85" i="3"/>
  <c r="M287" i="3"/>
  <c r="M253" i="3"/>
  <c r="M226" i="3"/>
  <c r="M200" i="3"/>
  <c r="M167" i="3"/>
  <c r="M141" i="3"/>
  <c r="M109" i="3"/>
  <c r="M82" i="3"/>
  <c r="M289" i="3"/>
  <c r="M285" i="3"/>
  <c r="M251" i="3"/>
  <c r="M225" i="3"/>
  <c r="M193" i="3"/>
  <c r="M166" i="3"/>
  <c r="M140" i="3"/>
  <c r="M107" i="3"/>
  <c r="M81" i="3"/>
  <c r="M284" i="3"/>
  <c r="M250" i="3"/>
  <c r="M224" i="3"/>
  <c r="M191" i="3"/>
  <c r="M165" i="3"/>
  <c r="M133" i="3"/>
  <c r="M106" i="3"/>
  <c r="M169" i="3"/>
  <c r="M313" i="3"/>
  <c r="M277" i="3"/>
  <c r="M249" i="3"/>
  <c r="M217" i="3"/>
  <c r="M190" i="3"/>
  <c r="M164" i="3"/>
  <c r="M131" i="3"/>
  <c r="M227" i="3"/>
  <c r="M311" i="3"/>
  <c r="M275" i="3"/>
  <c r="M248" i="3"/>
  <c r="M215" i="3"/>
  <c r="M189" i="3"/>
  <c r="M157" i="3"/>
  <c r="M130" i="3"/>
  <c r="M104" i="3"/>
  <c r="M309" i="3"/>
  <c r="M273" i="3"/>
  <c r="M241" i="3"/>
  <c r="M214" i="3"/>
  <c r="M188" i="3"/>
  <c r="M155" i="3"/>
  <c r="M129" i="3"/>
  <c r="M97" i="3"/>
  <c r="M308" i="3"/>
  <c r="M272" i="3"/>
  <c r="M239" i="3"/>
  <c r="M213" i="3"/>
  <c r="M181" i="3"/>
  <c r="M154" i="3"/>
  <c r="M128" i="3"/>
  <c r="M95" i="3"/>
  <c r="M145" i="3"/>
  <c r="M301" i="3"/>
  <c r="M265" i="3"/>
  <c r="M238" i="3"/>
  <c r="M212" i="3"/>
  <c r="M179" i="3"/>
  <c r="M153" i="3"/>
  <c r="M121" i="3"/>
  <c r="M94" i="3"/>
  <c r="M83" i="3"/>
  <c r="M299" i="3"/>
  <c r="M263" i="3"/>
  <c r="M237" i="3"/>
  <c r="M205" i="3"/>
  <c r="M178" i="3"/>
  <c r="M152" i="3"/>
  <c r="M119" i="3"/>
  <c r="M93" i="3"/>
  <c r="M312" i="3"/>
  <c r="M300" i="3"/>
  <c r="M288" i="3"/>
  <c r="M276" i="3"/>
  <c r="M264" i="3"/>
  <c r="M252" i="3"/>
  <c r="M240" i="3"/>
  <c r="M228" i="3"/>
  <c r="M216" i="3"/>
  <c r="M204" i="3"/>
  <c r="M192" i="3"/>
  <c r="M180" i="3"/>
  <c r="M168" i="3"/>
  <c r="M156" i="3"/>
  <c r="M144" i="3"/>
  <c r="M132" i="3"/>
  <c r="M120" i="3"/>
  <c r="M108" i="3"/>
  <c r="M96" i="3"/>
  <c r="M84" i="3"/>
  <c r="M310" i="3"/>
  <c r="M298" i="3"/>
  <c r="M286" i="3"/>
  <c r="M274" i="3"/>
  <c r="M307" i="3"/>
  <c r="M295" i="3"/>
  <c r="M283" i="3"/>
  <c r="M271" i="3"/>
  <c r="M259" i="3"/>
  <c r="M247" i="3"/>
  <c r="M235" i="3"/>
  <c r="M223" i="3"/>
  <c r="M211" i="3"/>
  <c r="M199" i="3"/>
  <c r="M187" i="3"/>
  <c r="M175" i="3"/>
  <c r="M163" i="3"/>
  <c r="M151" i="3"/>
  <c r="M139" i="3"/>
  <c r="M127" i="3"/>
  <c r="M115" i="3"/>
  <c r="M103" i="3"/>
  <c r="M91" i="3"/>
  <c r="M306" i="3"/>
  <c r="M294" i="3"/>
  <c r="M282" i="3"/>
  <c r="M270" i="3"/>
  <c r="M258" i="3"/>
  <c r="M246" i="3"/>
  <c r="M234" i="3"/>
  <c r="M222" i="3"/>
  <c r="M210" i="3"/>
  <c r="M198" i="3"/>
  <c r="M186" i="3"/>
  <c r="M174" i="3"/>
  <c r="M162" i="3"/>
  <c r="M150" i="3"/>
  <c r="M138" i="3"/>
  <c r="M126" i="3"/>
  <c r="M114" i="3"/>
  <c r="M102" i="3"/>
  <c r="M90" i="3"/>
  <c r="M305" i="3"/>
  <c r="M293" i="3"/>
  <c r="M281" i="3"/>
  <c r="M269" i="3"/>
  <c r="M257" i="3"/>
  <c r="M245" i="3"/>
  <c r="M233" i="3"/>
  <c r="M221" i="3"/>
  <c r="M209" i="3"/>
  <c r="M197" i="3"/>
  <c r="M185" i="3"/>
  <c r="M173" i="3"/>
  <c r="M161" i="3"/>
  <c r="M149" i="3"/>
  <c r="M137" i="3"/>
  <c r="M125" i="3"/>
  <c r="M113" i="3"/>
  <c r="M101" i="3"/>
  <c r="M89" i="3"/>
  <c r="M304" i="3"/>
  <c r="M292" i="3"/>
  <c r="M280" i="3"/>
  <c r="M268" i="3"/>
  <c r="M256" i="3"/>
  <c r="M244" i="3"/>
  <c r="M232" i="3"/>
  <c r="M220" i="3"/>
  <c r="M208" i="3"/>
  <c r="M196" i="3"/>
  <c r="M184" i="3"/>
  <c r="M172" i="3"/>
  <c r="M160" i="3"/>
  <c r="M148" i="3"/>
  <c r="M136" i="3"/>
  <c r="M124" i="3"/>
  <c r="M112" i="3"/>
  <c r="M100" i="3"/>
  <c r="M88" i="3"/>
  <c r="M303" i="3"/>
  <c r="M291" i="3"/>
  <c r="M279" i="3"/>
  <c r="M267" i="3"/>
  <c r="M255" i="3"/>
  <c r="M243" i="3"/>
  <c r="M231" i="3"/>
  <c r="M219" i="3"/>
  <c r="M207" i="3"/>
  <c r="M195" i="3"/>
  <c r="M183" i="3"/>
  <c r="M171" i="3"/>
  <c r="M159" i="3"/>
  <c r="M147" i="3"/>
  <c r="M135" i="3"/>
  <c r="M123" i="3"/>
  <c r="M111" i="3"/>
  <c r="M99" i="3"/>
  <c r="M87" i="3"/>
  <c r="M302" i="3"/>
  <c r="M290" i="3"/>
  <c r="M278" i="3"/>
  <c r="M266" i="3"/>
  <c r="M254" i="3"/>
  <c r="M242" i="3"/>
  <c r="M230" i="3"/>
  <c r="M218" i="3"/>
  <c r="M206" i="3"/>
  <c r="M194" i="3"/>
  <c r="M182" i="3"/>
  <c r="M170" i="3"/>
  <c r="M158" i="3"/>
  <c r="M146" i="3"/>
  <c r="M134" i="3"/>
  <c r="M122" i="3"/>
  <c r="M110" i="3"/>
  <c r="M98" i="3"/>
  <c r="M86" i="3"/>
  <c r="L162" i="3"/>
  <c r="L150" i="3"/>
  <c r="L306" i="3"/>
  <c r="L90" i="3"/>
  <c r="L294" i="3"/>
  <c r="L270" i="3"/>
  <c r="L258" i="3"/>
  <c r="L114" i="3"/>
  <c r="L234" i="3"/>
  <c r="L222" i="3"/>
  <c r="L126" i="3"/>
  <c r="L198" i="3"/>
  <c r="L186" i="3"/>
  <c r="L311" i="3"/>
  <c r="L275" i="3"/>
  <c r="L239" i="3"/>
  <c r="L203" i="3"/>
  <c r="L167" i="3"/>
  <c r="L131" i="3"/>
  <c r="L95" i="3"/>
  <c r="L309" i="3"/>
  <c r="L273" i="3"/>
  <c r="L237" i="3"/>
  <c r="L201" i="3"/>
  <c r="L165" i="3"/>
  <c r="L129" i="3"/>
  <c r="L93" i="3"/>
  <c r="L301" i="3"/>
  <c r="L265" i="3"/>
  <c r="L229" i="3"/>
  <c r="L193" i="3"/>
  <c r="L157" i="3"/>
  <c r="L121" i="3"/>
  <c r="L85" i="3"/>
  <c r="L299" i="3"/>
  <c r="L263" i="3"/>
  <c r="L227" i="3"/>
  <c r="L191" i="3"/>
  <c r="L155" i="3"/>
  <c r="L119" i="3"/>
  <c r="L83" i="3"/>
  <c r="L297" i="3"/>
  <c r="L261" i="3"/>
  <c r="L225" i="3"/>
  <c r="L189" i="3"/>
  <c r="L153" i="3"/>
  <c r="L117" i="3"/>
  <c r="L289" i="3"/>
  <c r="L253" i="3"/>
  <c r="L217" i="3"/>
  <c r="L181" i="3"/>
  <c r="L145" i="3"/>
  <c r="L109" i="3"/>
  <c r="L287" i="3"/>
  <c r="L251" i="3"/>
  <c r="L215" i="3"/>
  <c r="L179" i="3"/>
  <c r="L143" i="3"/>
  <c r="L107" i="3"/>
  <c r="L285" i="3"/>
  <c r="L249" i="3"/>
  <c r="L213" i="3"/>
  <c r="L177" i="3"/>
  <c r="L141" i="3"/>
  <c r="L105" i="3"/>
  <c r="L282" i="3"/>
  <c r="L246" i="3"/>
  <c r="L210" i="3"/>
  <c r="L174" i="3"/>
  <c r="L138" i="3"/>
  <c r="L102" i="3"/>
  <c r="L313" i="3"/>
  <c r="L277" i="3"/>
  <c r="L241" i="3"/>
  <c r="L205" i="3"/>
  <c r="L169" i="3"/>
  <c r="L133" i="3"/>
  <c r="L97" i="3"/>
  <c r="L312" i="3"/>
  <c r="L300" i="3"/>
  <c r="L288" i="3"/>
  <c r="L276" i="3"/>
  <c r="L264" i="3"/>
  <c r="L252" i="3"/>
  <c r="L240" i="3"/>
  <c r="L228" i="3"/>
  <c r="L216" i="3"/>
  <c r="L204" i="3"/>
  <c r="L192" i="3"/>
  <c r="L180" i="3"/>
  <c r="L168" i="3"/>
  <c r="L156" i="3"/>
  <c r="L144" i="3"/>
  <c r="L132" i="3"/>
  <c r="L120" i="3"/>
  <c r="L108" i="3"/>
  <c r="L96" i="3"/>
  <c r="L84" i="3"/>
  <c r="L310" i="3"/>
  <c r="L298" i="3"/>
  <c r="L286" i="3"/>
  <c r="L274" i="3"/>
  <c r="L262" i="3"/>
  <c r="L250" i="3"/>
  <c r="L238" i="3"/>
  <c r="L226" i="3"/>
  <c r="L214" i="3"/>
  <c r="L202" i="3"/>
  <c r="L190" i="3"/>
  <c r="L178" i="3"/>
  <c r="L166" i="3"/>
  <c r="L154" i="3"/>
  <c r="L142" i="3"/>
  <c r="L130" i="3"/>
  <c r="L118" i="3"/>
  <c r="L106" i="3"/>
  <c r="L94" i="3"/>
  <c r="L82" i="3"/>
  <c r="L308" i="3"/>
  <c r="L296" i="3"/>
  <c r="L284" i="3"/>
  <c r="L272" i="3"/>
  <c r="L260" i="3"/>
  <c r="L248" i="3"/>
  <c r="L236" i="3"/>
  <c r="L224" i="3"/>
  <c r="L212" i="3"/>
  <c r="L200" i="3"/>
  <c r="L188" i="3"/>
  <c r="L176" i="3"/>
  <c r="L164" i="3"/>
  <c r="L152" i="3"/>
  <c r="L140" i="3"/>
  <c r="L128" i="3"/>
  <c r="L116" i="3"/>
  <c r="L104" i="3"/>
  <c r="L92" i="3"/>
  <c r="L307" i="3"/>
  <c r="L295" i="3"/>
  <c r="L283" i="3"/>
  <c r="L271" i="3"/>
  <c r="L259" i="3"/>
  <c r="L247" i="3"/>
  <c r="L235" i="3"/>
  <c r="L223" i="3"/>
  <c r="L211" i="3"/>
  <c r="L199" i="3"/>
  <c r="L187" i="3"/>
  <c r="L175" i="3"/>
  <c r="L163" i="3"/>
  <c r="L151" i="3"/>
  <c r="L139" i="3"/>
  <c r="L127" i="3"/>
  <c r="L115" i="3"/>
  <c r="L103" i="3"/>
  <c r="L91" i="3"/>
  <c r="L305" i="3"/>
  <c r="L293" i="3"/>
  <c r="L281" i="3"/>
  <c r="L269" i="3"/>
  <c r="L257" i="3"/>
  <c r="L245" i="3"/>
  <c r="L233" i="3"/>
  <c r="L221" i="3"/>
  <c r="L209" i="3"/>
  <c r="L197" i="3"/>
  <c r="L185" i="3"/>
  <c r="L173" i="3"/>
  <c r="L161" i="3"/>
  <c r="L149" i="3"/>
  <c r="L137" i="3"/>
  <c r="L125" i="3"/>
  <c r="L113" i="3"/>
  <c r="L101" i="3"/>
  <c r="L89" i="3"/>
  <c r="L304" i="3"/>
  <c r="L292" i="3"/>
  <c r="L280" i="3"/>
  <c r="L268" i="3"/>
  <c r="L256" i="3"/>
  <c r="L244" i="3"/>
  <c r="L232" i="3"/>
  <c r="L220" i="3"/>
  <c r="L208" i="3"/>
  <c r="L196" i="3"/>
  <c r="L184" i="3"/>
  <c r="L172" i="3"/>
  <c r="L160" i="3"/>
  <c r="L148" i="3"/>
  <c r="L136" i="3"/>
  <c r="L124" i="3"/>
  <c r="L112" i="3"/>
  <c r="L100" i="3"/>
  <c r="L88" i="3"/>
  <c r="L81" i="3"/>
  <c r="L303" i="3"/>
  <c r="L291" i="3"/>
  <c r="L279" i="3"/>
  <c r="L267" i="3"/>
  <c r="L255" i="3"/>
  <c r="L243" i="3"/>
  <c r="L231" i="3"/>
  <c r="L219" i="3"/>
  <c r="L207" i="3"/>
  <c r="L195" i="3"/>
  <c r="L183" i="3"/>
  <c r="L171" i="3"/>
  <c r="L159" i="3"/>
  <c r="L147" i="3"/>
  <c r="L135" i="3"/>
  <c r="L123" i="3"/>
  <c r="L111" i="3"/>
  <c r="L99" i="3"/>
  <c r="L87" i="3"/>
  <c r="L302" i="3"/>
  <c r="L290" i="3"/>
  <c r="L278" i="3"/>
  <c r="L266" i="3"/>
  <c r="L254" i="3"/>
  <c r="L242" i="3"/>
  <c r="L230" i="3"/>
  <c r="L218" i="3"/>
  <c r="L206" i="3"/>
  <c r="L194" i="3"/>
  <c r="L182" i="3"/>
  <c r="L170" i="3"/>
  <c r="L158" i="3"/>
  <c r="L146" i="3"/>
  <c r="L134" i="3"/>
  <c r="L122" i="3"/>
  <c r="L110" i="3"/>
  <c r="L98" i="3"/>
  <c r="L86" i="3"/>
  <c r="K91" i="3"/>
  <c r="K214" i="3"/>
  <c r="K215" i="3"/>
  <c r="K143" i="3"/>
  <c r="K142" i="3"/>
  <c r="K287" i="3"/>
  <c r="K286" i="3"/>
  <c r="K299" i="3"/>
  <c r="K227" i="3"/>
  <c r="K155" i="3"/>
  <c r="K95" i="3"/>
  <c r="K298" i="3"/>
  <c r="K226" i="3"/>
  <c r="K154" i="3"/>
  <c r="K94" i="3"/>
  <c r="K83" i="3"/>
  <c r="K275" i="3"/>
  <c r="K203" i="3"/>
  <c r="K131" i="3"/>
  <c r="K82" i="3"/>
  <c r="K274" i="3"/>
  <c r="K202" i="3"/>
  <c r="K130" i="3"/>
  <c r="K263" i="3"/>
  <c r="K191" i="3"/>
  <c r="K119" i="3"/>
  <c r="K262" i="3"/>
  <c r="K190" i="3"/>
  <c r="K118" i="3"/>
  <c r="K251" i="3"/>
  <c r="K179" i="3"/>
  <c r="K115" i="3"/>
  <c r="K250" i="3"/>
  <c r="K178" i="3"/>
  <c r="K107" i="3"/>
  <c r="K311" i="3"/>
  <c r="K239" i="3"/>
  <c r="K167" i="3"/>
  <c r="K106" i="3"/>
  <c r="K310" i="3"/>
  <c r="K238" i="3"/>
  <c r="K166" i="3"/>
  <c r="K103" i="3"/>
  <c r="K313" i="3"/>
  <c r="K301" i="3"/>
  <c r="K289" i="3"/>
  <c r="K277" i="3"/>
  <c r="K265" i="3"/>
  <c r="K253" i="3"/>
  <c r="K241" i="3"/>
  <c r="K229" i="3"/>
  <c r="K217" i="3"/>
  <c r="K205" i="3"/>
  <c r="K193" i="3"/>
  <c r="K181" i="3"/>
  <c r="K169" i="3"/>
  <c r="K157" i="3"/>
  <c r="K145" i="3"/>
  <c r="K133" i="3"/>
  <c r="K121" i="3"/>
  <c r="K109" i="3"/>
  <c r="K97" i="3"/>
  <c r="K85" i="3"/>
  <c r="K312" i="3"/>
  <c r="K300" i="3"/>
  <c r="K288" i="3"/>
  <c r="K276" i="3"/>
  <c r="K264" i="3"/>
  <c r="K252" i="3"/>
  <c r="K240" i="3"/>
  <c r="K228" i="3"/>
  <c r="K216" i="3"/>
  <c r="K204" i="3"/>
  <c r="K192" i="3"/>
  <c r="K180" i="3"/>
  <c r="K168" i="3"/>
  <c r="K156" i="3"/>
  <c r="K144" i="3"/>
  <c r="K132" i="3"/>
  <c r="K120" i="3"/>
  <c r="K108" i="3"/>
  <c r="K96" i="3"/>
  <c r="K84" i="3"/>
  <c r="K309" i="3"/>
  <c r="K297" i="3"/>
  <c r="K285" i="3"/>
  <c r="K273" i="3"/>
  <c r="K261" i="3"/>
  <c r="K249" i="3"/>
  <c r="K237" i="3"/>
  <c r="K225" i="3"/>
  <c r="K213" i="3"/>
  <c r="K201" i="3"/>
  <c r="K189" i="3"/>
  <c r="K177" i="3"/>
  <c r="K165" i="3"/>
  <c r="K153" i="3"/>
  <c r="K141" i="3"/>
  <c r="K129" i="3"/>
  <c r="K117" i="3"/>
  <c r="K105" i="3"/>
  <c r="K93" i="3"/>
  <c r="K81" i="3"/>
  <c r="K308" i="3"/>
  <c r="K296" i="3"/>
  <c r="K284" i="3"/>
  <c r="K272" i="3"/>
  <c r="K260" i="3"/>
  <c r="K248" i="3"/>
  <c r="K236" i="3"/>
  <c r="K224" i="3"/>
  <c r="K212" i="3"/>
  <c r="K200" i="3"/>
  <c r="K188" i="3"/>
  <c r="K176" i="3"/>
  <c r="K164" i="3"/>
  <c r="K152" i="3"/>
  <c r="K140" i="3"/>
  <c r="K128" i="3"/>
  <c r="K116" i="3"/>
  <c r="K104" i="3"/>
  <c r="K92" i="3"/>
  <c r="K307" i="3"/>
  <c r="K295" i="3"/>
  <c r="K283" i="3"/>
  <c r="K271" i="3"/>
  <c r="K259" i="3"/>
  <c r="K247" i="3"/>
  <c r="K235" i="3"/>
  <c r="K223" i="3"/>
  <c r="K211" i="3"/>
  <c r="K199" i="3"/>
  <c r="K187" i="3"/>
  <c r="K175" i="3"/>
  <c r="K163" i="3"/>
  <c r="K151" i="3"/>
  <c r="K139" i="3"/>
  <c r="K127" i="3"/>
  <c r="K306" i="3"/>
  <c r="K294" i="3"/>
  <c r="K282" i="3"/>
  <c r="K270" i="3"/>
  <c r="K258" i="3"/>
  <c r="K246" i="3"/>
  <c r="K234" i="3"/>
  <c r="K222" i="3"/>
  <c r="K210" i="3"/>
  <c r="K198" i="3"/>
  <c r="K186" i="3"/>
  <c r="K174" i="3"/>
  <c r="K162" i="3"/>
  <c r="K150" i="3"/>
  <c r="K138" i="3"/>
  <c r="K126" i="3"/>
  <c r="K114" i="3"/>
  <c r="K102" i="3"/>
  <c r="K90" i="3"/>
  <c r="K305" i="3"/>
  <c r="K293" i="3"/>
  <c r="K281" i="3"/>
  <c r="K269" i="3"/>
  <c r="K257" i="3"/>
  <c r="K245" i="3"/>
  <c r="K233" i="3"/>
  <c r="K221" i="3"/>
  <c r="K209" i="3"/>
  <c r="K197" i="3"/>
  <c r="K185" i="3"/>
  <c r="K173" i="3"/>
  <c r="K161" i="3"/>
  <c r="K149" i="3"/>
  <c r="K137" i="3"/>
  <c r="K125" i="3"/>
  <c r="K113" i="3"/>
  <c r="K101" i="3"/>
  <c r="K89" i="3"/>
  <c r="K304" i="3"/>
  <c r="K292" i="3"/>
  <c r="K280" i="3"/>
  <c r="K268" i="3"/>
  <c r="K256" i="3"/>
  <c r="K244" i="3"/>
  <c r="K232" i="3"/>
  <c r="K220" i="3"/>
  <c r="K208" i="3"/>
  <c r="K196" i="3"/>
  <c r="K184" i="3"/>
  <c r="K172" i="3"/>
  <c r="K160" i="3"/>
  <c r="K148" i="3"/>
  <c r="K136" i="3"/>
  <c r="K124" i="3"/>
  <c r="K112" i="3"/>
  <c r="K100" i="3"/>
  <c r="K88" i="3"/>
  <c r="K303" i="3"/>
  <c r="K291" i="3"/>
  <c r="K279" i="3"/>
  <c r="K267" i="3"/>
  <c r="K255" i="3"/>
  <c r="K243" i="3"/>
  <c r="K231" i="3"/>
  <c r="K219" i="3"/>
  <c r="K207" i="3"/>
  <c r="K195" i="3"/>
  <c r="K183" i="3"/>
  <c r="K171" i="3"/>
  <c r="K159" i="3"/>
  <c r="K147" i="3"/>
  <c r="K135" i="3"/>
  <c r="K123" i="3"/>
  <c r="K111" i="3"/>
  <c r="K99" i="3"/>
  <c r="K87" i="3"/>
  <c r="K302" i="3"/>
  <c r="K290" i="3"/>
  <c r="K278" i="3"/>
  <c r="K266" i="3"/>
  <c r="K254" i="3"/>
  <c r="K242" i="3"/>
  <c r="K230" i="3"/>
  <c r="K218" i="3"/>
  <c r="K206" i="3"/>
  <c r="K194" i="3"/>
  <c r="K182" i="3"/>
  <c r="K170" i="3"/>
  <c r="K158" i="3"/>
  <c r="K146" i="3"/>
  <c r="K134" i="3"/>
  <c r="K122" i="3"/>
  <c r="K110" i="3"/>
  <c r="K98" i="3"/>
  <c r="K86" i="3"/>
  <c r="J296" i="3"/>
  <c r="J284" i="3"/>
  <c r="J248" i="3"/>
  <c r="J224" i="3"/>
  <c r="J212" i="3"/>
  <c r="J176" i="3"/>
  <c r="J104" i="3"/>
  <c r="J309" i="3"/>
  <c r="J297" i="3"/>
  <c r="J285" i="3"/>
  <c r="J273" i="3"/>
  <c r="J261" i="3"/>
  <c r="J249" i="3"/>
  <c r="J237" i="3"/>
  <c r="J225" i="3"/>
  <c r="J213" i="3"/>
  <c r="J201" i="3"/>
  <c r="J189" i="3"/>
  <c r="J177" i="3"/>
  <c r="J165" i="3"/>
  <c r="J153" i="3"/>
  <c r="J141" i="3"/>
  <c r="J129" i="3"/>
  <c r="J117" i="3"/>
  <c r="J105" i="3"/>
  <c r="J93" i="3"/>
  <c r="J152" i="3"/>
  <c r="J289" i="3"/>
  <c r="J313" i="3"/>
  <c r="J301" i="3"/>
  <c r="J140" i="3"/>
  <c r="J277" i="3"/>
  <c r="J265" i="3"/>
  <c r="J253" i="3"/>
  <c r="J241" i="3"/>
  <c r="J229" i="3"/>
  <c r="J217" i="3"/>
  <c r="J198" i="3"/>
  <c r="J186" i="3"/>
  <c r="J174" i="3"/>
  <c r="J162" i="3"/>
  <c r="J150" i="3"/>
  <c r="J138" i="3"/>
  <c r="J126" i="3"/>
  <c r="J114" i="3"/>
  <c r="J102" i="3"/>
  <c r="J90" i="3"/>
  <c r="J269" i="3"/>
  <c r="J257" i="3"/>
  <c r="J245" i="3"/>
  <c r="J233" i="3"/>
  <c r="J221" i="3"/>
  <c r="J209" i="3"/>
  <c r="J197" i="3"/>
  <c r="J185" i="3"/>
  <c r="J173" i="3"/>
  <c r="J161" i="3"/>
  <c r="J149" i="3"/>
  <c r="J137" i="3"/>
  <c r="J125" i="3"/>
  <c r="J113" i="3"/>
  <c r="J101" i="3"/>
  <c r="J89" i="3"/>
  <c r="J311" i="3"/>
  <c r="J299" i="3"/>
  <c r="J287" i="3"/>
  <c r="J275" i="3"/>
  <c r="J263" i="3"/>
  <c r="J251" i="3"/>
  <c r="J239" i="3"/>
  <c r="J227" i="3"/>
  <c r="J215" i="3"/>
  <c r="J203" i="3"/>
  <c r="J191" i="3"/>
  <c r="J179" i="3"/>
  <c r="J167" i="3"/>
  <c r="J155" i="3"/>
  <c r="J143" i="3"/>
  <c r="J131" i="3"/>
  <c r="J119" i="3"/>
  <c r="J107" i="3"/>
  <c r="J95" i="3"/>
  <c r="J83" i="3"/>
  <c r="J310" i="3"/>
  <c r="J298" i="3"/>
  <c r="J286" i="3"/>
  <c r="J274" i="3"/>
  <c r="J262" i="3"/>
  <c r="J250" i="3"/>
  <c r="J238" i="3"/>
  <c r="J226" i="3"/>
  <c r="J214" i="3"/>
  <c r="J202" i="3"/>
  <c r="J190" i="3"/>
  <c r="J178" i="3"/>
  <c r="J166" i="3"/>
  <c r="J308" i="3"/>
  <c r="J272" i="3"/>
  <c r="J260" i="3"/>
  <c r="J236" i="3"/>
  <c r="J200" i="3"/>
  <c r="J188" i="3"/>
  <c r="J164" i="3"/>
  <c r="J128" i="3"/>
  <c r="J116" i="3"/>
  <c r="J92" i="3"/>
  <c r="J81" i="3"/>
  <c r="J199" i="3"/>
  <c r="J187" i="3"/>
  <c r="J175" i="3"/>
  <c r="J163" i="3"/>
  <c r="J151" i="3"/>
  <c r="J139" i="3"/>
  <c r="J127" i="3"/>
  <c r="J115" i="3"/>
  <c r="J103" i="3"/>
  <c r="J91" i="3"/>
  <c r="J205" i="3"/>
  <c r="J193" i="3"/>
  <c r="J181" i="3"/>
  <c r="J169" i="3"/>
  <c r="J157" i="3"/>
  <c r="J145" i="3"/>
  <c r="J133" i="3"/>
  <c r="J121" i="3"/>
  <c r="J109" i="3"/>
  <c r="J97" i="3"/>
  <c r="J85" i="3"/>
  <c r="J82" i="3"/>
  <c r="J307" i="3"/>
  <c r="J295" i="3"/>
  <c r="J283" i="3"/>
  <c r="J271" i="3"/>
  <c r="J259" i="3"/>
  <c r="J247" i="3"/>
  <c r="J235" i="3"/>
  <c r="J223" i="3"/>
  <c r="J211" i="3"/>
  <c r="J306" i="3"/>
  <c r="J294" i="3"/>
  <c r="J282" i="3"/>
  <c r="J270" i="3"/>
  <c r="J258" i="3"/>
  <c r="J246" i="3"/>
  <c r="J234" i="3"/>
  <c r="J222" i="3"/>
  <c r="J210" i="3"/>
  <c r="J305" i="3"/>
  <c r="J293" i="3"/>
  <c r="J281" i="3"/>
  <c r="J304" i="3"/>
  <c r="J292" i="3"/>
  <c r="J280" i="3"/>
  <c r="J268" i="3"/>
  <c r="J256" i="3"/>
  <c r="J244" i="3"/>
  <c r="J232" i="3"/>
  <c r="J220" i="3"/>
  <c r="J208" i="3"/>
  <c r="J196" i="3"/>
  <c r="J184" i="3"/>
  <c r="J172" i="3"/>
  <c r="J160" i="3"/>
  <c r="J148" i="3"/>
  <c r="J136" i="3"/>
  <c r="J124" i="3"/>
  <c r="J112" i="3"/>
  <c r="J100" i="3"/>
  <c r="J88" i="3"/>
  <c r="J154" i="3"/>
  <c r="J142" i="3"/>
  <c r="J130" i="3"/>
  <c r="J118" i="3"/>
  <c r="J106" i="3"/>
  <c r="J94" i="3"/>
  <c r="J303" i="3"/>
  <c r="J291" i="3"/>
  <c r="J279" i="3"/>
  <c r="J267" i="3"/>
  <c r="J255" i="3"/>
  <c r="J243" i="3"/>
  <c r="J231" i="3"/>
  <c r="J219" i="3"/>
  <c r="J207" i="3"/>
  <c r="J195" i="3"/>
  <c r="J183" i="3"/>
  <c r="J171" i="3"/>
  <c r="J159" i="3"/>
  <c r="J147" i="3"/>
  <c r="J135" i="3"/>
  <c r="J123" i="3"/>
  <c r="J111" i="3"/>
  <c r="J99" i="3"/>
  <c r="J87" i="3"/>
  <c r="J302" i="3"/>
  <c r="J290" i="3"/>
  <c r="J278" i="3"/>
  <c r="J266" i="3"/>
  <c r="J254" i="3"/>
  <c r="J242" i="3"/>
  <c r="J230" i="3"/>
  <c r="J218" i="3"/>
  <c r="J206" i="3"/>
  <c r="J194" i="3"/>
  <c r="J182" i="3"/>
  <c r="J170" i="3"/>
  <c r="J158" i="3"/>
  <c r="J146" i="3"/>
  <c r="J134" i="3"/>
  <c r="J122" i="3"/>
  <c r="J110" i="3"/>
  <c r="J98" i="3"/>
  <c r="J86" i="3"/>
  <c r="J312" i="3"/>
  <c r="J300" i="3"/>
  <c r="J288" i="3"/>
  <c r="J276" i="3"/>
  <c r="J264" i="3"/>
  <c r="J252" i="3"/>
  <c r="J240" i="3"/>
  <c r="J228" i="3"/>
  <c r="J216" i="3"/>
  <c r="J204" i="3"/>
  <c r="J192" i="3"/>
  <c r="J180" i="3"/>
  <c r="J168" i="3"/>
  <c r="J156" i="3"/>
  <c r="J144" i="3"/>
  <c r="J132" i="3"/>
  <c r="J120" i="3"/>
  <c r="J108" i="3"/>
  <c r="J96" i="3"/>
  <c r="J8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1EA584-92D7-4F39-AD12-27DE03C8C0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1653299-BDAA-41DD-94A9-0CB308463BEF}" name="WorksheetConnection_exccel-chatgbtxlsx.xlsx!Customers" type="102" refreshedVersion="8" minRefreshableVersion="5">
    <extLst>
      <ext xmlns:x15="http://schemas.microsoft.com/office/spreadsheetml/2010/11/main" uri="{DE250136-89BD-433C-8126-D09CA5730AF9}">
        <x15:connection id="Customers">
          <x15:rangePr sourceName="_xlcn.WorksheetConnection_exccelchatgbtxlsx.xlsxCustomers"/>
        </x15:connection>
      </ext>
    </extLst>
  </connection>
  <connection id="3" xr16:uid="{F596CEE8-34B4-4D24-A4AB-C535B8FA9777}" name="WorksheetConnection_exccel-chatgbtxlsx.xlsx!Orders" type="102" refreshedVersion="8" minRefreshableVersion="5">
    <extLst>
      <ext xmlns:x15="http://schemas.microsoft.com/office/spreadsheetml/2010/11/main" uri="{DE250136-89BD-433C-8126-D09CA5730AF9}">
        <x15:connection id="Orders">
          <x15:rangePr sourceName="_xlcn.WorksheetConnection_exccelchatgbtxlsx.xlsxOrders"/>
        </x15:connection>
      </ext>
    </extLst>
  </connection>
  <connection id="4" xr16:uid="{7EA3CCD4-A36C-4DB8-9791-67426D7E6856}" name="WorksheetConnection_exccel-chatgbtxlsx.xlsx!Products" type="102" refreshedVersion="8" minRefreshableVersion="5">
    <extLst>
      <ext xmlns:x15="http://schemas.microsoft.com/office/spreadsheetml/2010/11/main" uri="{DE250136-89BD-433C-8126-D09CA5730AF9}">
        <x15:connection id="Products">
          <x15:rangePr sourceName="_xlcn.WorksheetConnection_exccelchatgbtxlsx.xlsxProducts"/>
        </x15:connection>
      </ext>
    </extLst>
  </connection>
  <connection id="5" xr16:uid="{C4D4DF49-3927-44D3-9E59-54C855909495}" name="WorksheetConnection_exccel-chatgbtxlsx.xlsx!Regions" type="102" refreshedVersion="8" minRefreshableVersion="5">
    <extLst>
      <ext xmlns:x15="http://schemas.microsoft.com/office/spreadsheetml/2010/11/main" uri="{DE250136-89BD-433C-8126-D09CA5730AF9}">
        <x15:connection id="Regions">
          <x15:rangePr sourceName="_xlcn.WorksheetConnection_exccelchatgbtxlsx.xlsxRegions"/>
        </x15:connection>
      </ext>
    </extLst>
  </connection>
</connections>
</file>

<file path=xl/sharedStrings.xml><?xml version="1.0" encoding="utf-8"?>
<sst xmlns="http://schemas.openxmlformats.org/spreadsheetml/2006/main" count="545" uniqueCount="175">
  <si>
    <t>OrderID</t>
  </si>
  <si>
    <t>OrderDate</t>
  </si>
  <si>
    <t>CustomerID</t>
  </si>
  <si>
    <t>ProductID</t>
  </si>
  <si>
    <t>Quantity</t>
  </si>
  <si>
    <t>UnitPrice</t>
  </si>
  <si>
    <t>RegionID</t>
  </si>
  <si>
    <t>C001</t>
  </si>
  <si>
    <t>P001</t>
  </si>
  <si>
    <t>R01</t>
  </si>
  <si>
    <t>C002</t>
  </si>
  <si>
    <t>P003</t>
  </si>
  <si>
    <t>R02</t>
  </si>
  <si>
    <t>C003</t>
  </si>
  <si>
    <t>P002</t>
  </si>
  <si>
    <t>R03</t>
  </si>
  <si>
    <t>C004</t>
  </si>
  <si>
    <t>P004</t>
  </si>
  <si>
    <t>R04</t>
  </si>
  <si>
    <t>C005</t>
  </si>
  <si>
    <t>P005</t>
  </si>
  <si>
    <t>C006</t>
  </si>
  <si>
    <t>P006</t>
  </si>
  <si>
    <t>C007</t>
  </si>
  <si>
    <t>P008</t>
  </si>
  <si>
    <t>R05</t>
  </si>
  <si>
    <t>C008</t>
  </si>
  <si>
    <t>P009</t>
  </si>
  <si>
    <t>C009</t>
  </si>
  <si>
    <t>P010</t>
  </si>
  <si>
    <t>C010</t>
  </si>
  <si>
    <t>P011</t>
  </si>
  <si>
    <t>C011</t>
  </si>
  <si>
    <t>P012</t>
  </si>
  <si>
    <t>C012</t>
  </si>
  <si>
    <t>P013</t>
  </si>
  <si>
    <t>C013</t>
  </si>
  <si>
    <t>P014</t>
  </si>
  <si>
    <t>C014</t>
  </si>
  <si>
    <t>P015</t>
  </si>
  <si>
    <t>C015</t>
  </si>
  <si>
    <t>P016</t>
  </si>
  <si>
    <t>C016</t>
  </si>
  <si>
    <t>P017</t>
  </si>
  <si>
    <t>C017</t>
  </si>
  <si>
    <t>P018</t>
  </si>
  <si>
    <t>C018</t>
  </si>
  <si>
    <t>P019</t>
  </si>
  <si>
    <t>C019</t>
  </si>
  <si>
    <t>P020</t>
  </si>
  <si>
    <t>C020</t>
  </si>
  <si>
    <t>C021</t>
  </si>
  <si>
    <t>C022</t>
  </si>
  <si>
    <t>C023</t>
  </si>
  <si>
    <t>C024</t>
  </si>
  <si>
    <t>C025</t>
  </si>
  <si>
    <t>C026</t>
  </si>
  <si>
    <t>P007</t>
  </si>
  <si>
    <t>C027</t>
  </si>
  <si>
    <t>C028</t>
  </si>
  <si>
    <t>C029</t>
  </si>
  <si>
    <t>C030</t>
  </si>
  <si>
    <t>CustomerName</t>
  </si>
  <si>
    <t>Gender</t>
  </si>
  <si>
    <t>Age</t>
  </si>
  <si>
    <t>City</t>
  </si>
  <si>
    <t>James Smith</t>
  </si>
  <si>
    <t>Male</t>
  </si>
  <si>
    <t>London</t>
  </si>
  <si>
    <t>Emily Johnson</t>
  </si>
  <si>
    <t>Female</t>
  </si>
  <si>
    <t>Manchester</t>
  </si>
  <si>
    <t>Oliver Brown</t>
  </si>
  <si>
    <t>Birmingham</t>
  </si>
  <si>
    <t>Sophia Williams</t>
  </si>
  <si>
    <t>Leeds</t>
  </si>
  <si>
    <t>Harry Jones</t>
  </si>
  <si>
    <t>Liverpool</t>
  </si>
  <si>
    <t>Amelia Taylor</t>
  </si>
  <si>
    <t>Bristol</t>
  </si>
  <si>
    <t>Jack Davies</t>
  </si>
  <si>
    <t>Glasgow</t>
  </si>
  <si>
    <t>Isla Wilson</t>
  </si>
  <si>
    <t>Charlie Evans</t>
  </si>
  <si>
    <t>Sheffield</t>
  </si>
  <si>
    <t>Ava Thomas</t>
  </si>
  <si>
    <t>Nottingham</t>
  </si>
  <si>
    <t>George White</t>
  </si>
  <si>
    <t>Leicester</t>
  </si>
  <si>
    <t>Mia Harris</t>
  </si>
  <si>
    <t>Coventry</t>
  </si>
  <si>
    <t>Noah Martin</t>
  </si>
  <si>
    <t>Reading</t>
  </si>
  <si>
    <t>Lily Thompson</t>
  </si>
  <si>
    <t>Oxford</t>
  </si>
  <si>
    <t>Oscar Garcia</t>
  </si>
  <si>
    <t>Cambridge</t>
  </si>
  <si>
    <t>Grace Martinez</t>
  </si>
  <si>
    <t>Leo Robinson</t>
  </si>
  <si>
    <t>Chloe Clark</t>
  </si>
  <si>
    <t>Freddie Rodriguez</t>
  </si>
  <si>
    <t>Ella Lewis</t>
  </si>
  <si>
    <t>Alfie Lee</t>
  </si>
  <si>
    <t>Evie Walker</t>
  </si>
  <si>
    <t>Arthur Hall</t>
  </si>
  <si>
    <t>Isabella Allen</t>
  </si>
  <si>
    <t>Theo Young</t>
  </si>
  <si>
    <t>Poppy King</t>
  </si>
  <si>
    <t>Edinburgh</t>
  </si>
  <si>
    <t>Henry Wright</t>
  </si>
  <si>
    <t>Cardiff</t>
  </si>
  <si>
    <t>Ruby Scott</t>
  </si>
  <si>
    <t>Newcastle</t>
  </si>
  <si>
    <t>Jacob Green</t>
  </si>
  <si>
    <t>Sophie Adams</t>
  </si>
  <si>
    <t>Brighton</t>
  </si>
  <si>
    <t>RegionName</t>
  </si>
  <si>
    <t>North West</t>
  </si>
  <si>
    <t>Midlands</t>
  </si>
  <si>
    <t>Yorkshire</t>
  </si>
  <si>
    <t>Scotland</t>
  </si>
  <si>
    <t>ProductName</t>
  </si>
  <si>
    <t>Category</t>
  </si>
  <si>
    <t>Wireless Mouse</t>
  </si>
  <si>
    <t>Electronics</t>
  </si>
  <si>
    <t>Notebook</t>
  </si>
  <si>
    <t>Stationery</t>
  </si>
  <si>
    <t>Smartphone</t>
  </si>
  <si>
    <t>Office Chair</t>
  </si>
  <si>
    <t>Furniture</t>
  </si>
  <si>
    <t>Coffee Mug</t>
  </si>
  <si>
    <t>Home</t>
  </si>
  <si>
    <t>Desk Lamp</t>
  </si>
  <si>
    <t>Bluetooth Keyboard</t>
  </si>
  <si>
    <t>Monitor 24 inch</t>
  </si>
  <si>
    <t>Water Bottle</t>
  </si>
  <si>
    <t>Backpack</t>
  </si>
  <si>
    <t>Accessories</t>
  </si>
  <si>
    <t>Pen Set</t>
  </si>
  <si>
    <t>Tablet</t>
  </si>
  <si>
    <t>Printer</t>
  </si>
  <si>
    <t>Desk Organizer</t>
  </si>
  <si>
    <t>Office Supplies</t>
  </si>
  <si>
    <t>Headphones</t>
  </si>
  <si>
    <t>Standing Desk</t>
  </si>
  <si>
    <t>Sticky Notes</t>
  </si>
  <si>
    <t>Laptop Stand</t>
  </si>
  <si>
    <t>Webcam</t>
  </si>
  <si>
    <t>Extension Cable</t>
  </si>
  <si>
    <t>Revenue</t>
  </si>
  <si>
    <t>Month</t>
  </si>
  <si>
    <t>Year</t>
  </si>
  <si>
    <t>CategoryName</t>
  </si>
  <si>
    <t>Sum of Revenue</t>
  </si>
  <si>
    <t>Grand Total</t>
  </si>
  <si>
    <t>Region</t>
  </si>
  <si>
    <t>Total Revenue</t>
  </si>
  <si>
    <t>Total Orders</t>
  </si>
  <si>
    <t>Jan</t>
  </si>
  <si>
    <t>Feb</t>
  </si>
  <si>
    <t>Mar</t>
  </si>
  <si>
    <t>Apr</t>
  </si>
  <si>
    <t>May</t>
  </si>
  <si>
    <t>Jun</t>
  </si>
  <si>
    <t>Jul</t>
  </si>
  <si>
    <t>Aug</t>
  </si>
  <si>
    <t>Sep</t>
  </si>
  <si>
    <t>Oct</t>
  </si>
  <si>
    <t>Nov</t>
  </si>
  <si>
    <t>Dec</t>
  </si>
  <si>
    <t>Product</t>
  </si>
  <si>
    <t>Customer Name</t>
  </si>
  <si>
    <t>Average Order Value</t>
  </si>
  <si>
    <t>Count of OrderID</t>
  </si>
  <si>
    <t>Total Orders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</si>
</sst>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quot;£&quot;#,##0"/>
  </numFmts>
  <fonts count="7" x14ac:knownFonts="1">
    <font>
      <sz val="11"/>
      <color theme="1"/>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20"/>
      <color theme="0"/>
      <name val="Aptos Narrow"/>
      <family val="2"/>
      <scheme val="minor"/>
    </font>
    <font>
      <sz val="12"/>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249977111117893"/>
        <bgColor indexed="64"/>
      </patternFill>
    </fill>
  </fills>
  <borders count="8">
    <border>
      <left/>
      <right/>
      <top/>
      <bottom/>
      <diagonal/>
    </border>
    <border>
      <left/>
      <right/>
      <top/>
      <bottom style="thin">
        <color theme="4" tint="0.39997558519241921"/>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s>
  <cellStyleXfs count="1">
    <xf numFmtId="0" fontId="0" fillId="0" borderId="0"/>
  </cellStyleXfs>
  <cellXfs count="24">
    <xf numFmtId="0" fontId="0" fillId="0" borderId="0" xfId="0"/>
    <xf numFmtId="14" fontId="0" fillId="0" borderId="0" xfId="0" applyNumberFormat="1"/>
    <xf numFmtId="0" fontId="0" fillId="0" borderId="0" xfId="0" applyNumberFormat="1"/>
    <xf numFmtId="1" fontId="0" fillId="0" borderId="0" xfId="0" applyNumberFormat="1"/>
    <xf numFmtId="44" fontId="0" fillId="0" borderId="0" xfId="0" applyNumberFormat="1"/>
    <xf numFmtId="0" fontId="0" fillId="0" borderId="0" xfId="0" pivotButton="1"/>
    <xf numFmtId="0" fontId="0" fillId="0" borderId="0" xfId="0" applyAlignment="1">
      <alignment horizontal="left"/>
    </xf>
    <xf numFmtId="44" fontId="2" fillId="0" borderId="0" xfId="0" applyNumberFormat="1" applyFont="1"/>
    <xf numFmtId="0" fontId="2" fillId="0" borderId="0" xfId="0" applyNumberFormat="1" applyFont="1" applyAlignment="1">
      <alignment horizontal="center"/>
    </xf>
    <xf numFmtId="0" fontId="2" fillId="2" borderId="1" xfId="0" applyFont="1" applyFill="1" applyBorder="1" applyAlignment="1">
      <alignment horizontal="center" vertical="center"/>
    </xf>
    <xf numFmtId="0" fontId="4" fillId="3" borderId="3" xfId="0" applyFont="1" applyFill="1" applyBorder="1"/>
    <xf numFmtId="0" fontId="3" fillId="3" borderId="4" xfId="0" applyFont="1" applyFill="1" applyBorder="1"/>
    <xf numFmtId="0" fontId="3" fillId="3" borderId="5" xfId="0" applyFont="1" applyFill="1" applyBorder="1"/>
    <xf numFmtId="0" fontId="5" fillId="3" borderId="6" xfId="0" applyFont="1" applyFill="1" applyBorder="1" applyAlignment="1">
      <alignment horizontal="center" vertical="center"/>
    </xf>
    <xf numFmtId="0" fontId="3" fillId="3" borderId="7" xfId="0" applyFont="1" applyFill="1" applyBorder="1"/>
    <xf numFmtId="164" fontId="5" fillId="3" borderId="6" xfId="0" applyNumberFormat="1" applyFont="1" applyFill="1" applyBorder="1" applyAlignment="1">
      <alignment horizontal="center" vertical="center"/>
    </xf>
    <xf numFmtId="0" fontId="6" fillId="3" borderId="2" xfId="0" applyFont="1" applyFill="1" applyBorder="1"/>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164" fontId="5" fillId="3" borderId="5" xfId="0" applyNumberFormat="1" applyFont="1" applyFill="1" applyBorder="1" applyAlignment="1">
      <alignment horizontal="center"/>
    </xf>
    <xf numFmtId="164" fontId="5" fillId="3" borderId="7" xfId="0" applyNumberFormat="1" applyFont="1" applyFill="1" applyBorder="1" applyAlignment="1">
      <alignment horizontal="center"/>
    </xf>
  </cellXfs>
  <cellStyles count="1">
    <cellStyle name="Normal" xfId="0" builtinId="0"/>
  </cellStyles>
  <dxfs count="25">
    <dxf>
      <numFmt numFmtId="34" formatCode="_-&quot;£&quot;* #,##0.00_-;\-&quot;£&quot;* #,##0.00_-;_-&quot;£&quot;* &quot;-&quot;??_-;_-@_-"/>
    </dxf>
    <dxf>
      <font>
        <b/>
      </font>
    </dxf>
    <dxf>
      <numFmt numFmtId="34" formatCode="_-&quot;£&quot;* #,##0.00_-;\-&quot;£&quot;* #,##0.00_-;_-&quot;£&quot;* &quot;-&quot;??_-;_-@_-"/>
    </dxf>
    <dxf>
      <numFmt numFmtId="34" formatCode="_-&quot;£&quot;* #,##0.00_-;\-&quot;£&quot;* #,##0.00_-;_-&quot;£&quot;* &quot;-&quot;??_-;_-@_-"/>
    </dxf>
    <dxf>
      <font>
        <b/>
      </font>
    </dxf>
    <dxf>
      <alignment horizontal="cent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0" formatCode="General"/>
    </dxf>
    <dxf>
      <numFmt numFmtId="34" formatCode="_-&quot;£&quot;* #,##0.00_-;\-&quot;£&quot;* #,##0.00_-;_-&quot;£&quot;* &quot;-&quot;??_-;_-@_-"/>
    </dxf>
    <dxf>
      <numFmt numFmtId="1" formatCode="0"/>
    </dxf>
    <dxf>
      <numFmt numFmtId="19" formatCode="dd/mm/yyyy"/>
    </dxf>
    <dxf>
      <numFmt numFmtId="1" formatCode="0"/>
    </dxf>
    <dxf>
      <numFmt numFmtId="34" formatCode="_-&quot;£&quot;* #,##0.00_-;\-&quot;£&quot;* #,##0.00_-;_-&quot;£&quot;* &quot;-&quot;??_-;_-@_-"/>
    </dxf>
    <dxf>
      <numFmt numFmtId="0" formatCode="General"/>
    </dxf>
    <dxf>
      <font>
        <b/>
        <sz val="11"/>
        <color theme="1"/>
      </font>
    </dxf>
    <dxf>
      <fill>
        <patternFill patternType="solid">
          <fgColor theme="0"/>
          <bgColor theme="3"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8B466DA6-DA67-4E6F-9CE1-C911AF186EE5}">
      <tableStyleElement type="wholeTable" dxfId="24"/>
      <tableStyleElement type="headerRow" dxfId="2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[Sales_Performance_Analytics_Dashboard.xlsx]Pivot!Revenue by Month</c:name>
    <c:fmtId val="35"/>
  </c:pivotSource>
  <c:chart>
    <c:title>
      <c:tx>
        <c:rich>
          <a:bodyPr rot="0" spcFirstLastPara="1" vertOverflow="ellipsis" vert="horz" wrap="square" anchor="ctr" anchorCtr="1"/>
          <a:lstStyle/>
          <a:p>
            <a:pPr algn="ctr" rtl="0">
              <a:defRPr lang="en-US" sz="1600" b="1" i="0"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Revenue by Month </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2125330535426537E-2"/>
              <c:y val="-6.9919072615923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3673690850910139E-2"/>
              <c:y val="-6.06598133566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464540780472176E-2"/>
              <c:y val="-0.14399314668999713"/>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4445860830285376E-2"/>
              <c:y val="-0.1486227763196267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822780714054579E-2"/>
              <c:y val="-0.143993146689997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464540780472176E-2"/>
              <c:y val="-8.84375911344415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2785420813681006E-2"/>
              <c:y val="-0.11621536891221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4445860830285404E-2"/>
              <c:y val="-9.76968503937008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8655010900723332E-2"/>
              <c:y val="-8.84375911344415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0773215925842388E-3"/>
              <c:y val="-0.116215368912219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8804450502217856E-2"/>
              <c:y val="-6.9919072615923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050610734679335E-2"/>
              <c:y val="-7.45487022455526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61D9-4621-AFEF-319A789BEDCF}"/>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61D9-4621-AFEF-319A789BEDCF}"/>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61D9-4621-AFEF-319A789BEDCF}"/>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61D9-4621-AFEF-319A789BEDCF}"/>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61D9-4621-AFEF-319A789BEDCF}"/>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61D9-4621-AFEF-319A789BEDCF}"/>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61D9-4621-AFEF-319A789BEDCF}"/>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61D9-4621-AFEF-319A789BEDCF}"/>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C-61D9-4621-AFEF-319A789BEDCF}"/>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61D9-4621-AFEF-319A789BEDCF}"/>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61D9-4621-AFEF-319A789BEDCF}"/>
              </c:ext>
            </c:extLst>
          </c:dPt>
          <c:dPt>
            <c:idx val="1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61D9-4621-AFEF-319A789BEDCF}"/>
              </c:ext>
            </c:extLst>
          </c:dPt>
          <c:dLbls>
            <c:dLbl>
              <c:idx val="0"/>
              <c:layout>
                <c:manualLayout>
                  <c:x val="-5.2822780714054579E-2"/>
                  <c:y val="-0.14399314668999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D9-4621-AFEF-319A789BEDCF}"/>
                </c:ext>
              </c:extLst>
            </c:dLbl>
            <c:dLbl>
              <c:idx val="1"/>
              <c:layout>
                <c:manualLayout>
                  <c:x val="-5.9464540780472176E-2"/>
                  <c:y val="-8.8437591134441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D9-4621-AFEF-319A789BEDCF}"/>
                </c:ext>
              </c:extLst>
            </c:dLbl>
            <c:dLbl>
              <c:idx val="2"/>
              <c:layout>
                <c:manualLayout>
                  <c:x val="-6.4445860830285404E-2"/>
                  <c:y val="-9.7696850393700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D9-4621-AFEF-319A789BEDCF}"/>
                </c:ext>
              </c:extLst>
            </c:dLbl>
            <c:dLbl>
              <c:idx val="3"/>
              <c:layout>
                <c:manualLayout>
                  <c:x val="-6.2785420813681006E-2"/>
                  <c:y val="-0.11621536891221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D9-4621-AFEF-319A789BEDCF}"/>
                </c:ext>
              </c:extLst>
            </c:dLbl>
            <c:dLbl>
              <c:idx val="4"/>
              <c:layout>
                <c:manualLayout>
                  <c:x val="-6.8655010900723332E-2"/>
                  <c:y val="-8.8437591134441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D9-4621-AFEF-319A789BEDCF}"/>
                </c:ext>
              </c:extLst>
            </c:dLbl>
            <c:dLbl>
              <c:idx val="5"/>
              <c:layout>
                <c:manualLayout>
                  <c:x val="-6.4445860830285376E-2"/>
                  <c:y val="-0.148622776319626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D9-4621-AFEF-319A789BEDCF}"/>
                </c:ext>
              </c:extLst>
            </c:dLbl>
            <c:dLbl>
              <c:idx val="6"/>
              <c:layout>
                <c:manualLayout>
                  <c:x val="-5.9464540780472176E-2"/>
                  <c:y val="-0.14399314668999713"/>
                </c:manualLayout>
              </c:layout>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D9-4621-AFEF-319A789BEDCF}"/>
                </c:ext>
              </c:extLst>
            </c:dLbl>
            <c:dLbl>
              <c:idx val="7"/>
              <c:layout>
                <c:manualLayout>
                  <c:x val="-6.3673690850910139E-2"/>
                  <c:y val="-6.0659813356663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D9-4621-AFEF-319A789BEDCF}"/>
                </c:ext>
              </c:extLst>
            </c:dLbl>
            <c:dLbl>
              <c:idx val="8"/>
              <c:layout>
                <c:manualLayout>
                  <c:x val="-5.2050610734679335E-2"/>
                  <c:y val="-7.45487022455526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1D9-4621-AFEF-319A789BEDCF}"/>
                </c:ext>
              </c:extLst>
            </c:dLbl>
            <c:dLbl>
              <c:idx val="9"/>
              <c:layout>
                <c:manualLayout>
                  <c:x val="-3.2125330535426537E-2"/>
                  <c:y val="-6.99190726159230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D9-4621-AFEF-319A789BEDCF}"/>
                </c:ext>
              </c:extLst>
            </c:dLbl>
            <c:dLbl>
              <c:idx val="10"/>
              <c:layout>
                <c:manualLayout>
                  <c:x val="-2.8804450502217856E-2"/>
                  <c:y val="-6.99190726159230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D9-4621-AFEF-319A789BEDCF}"/>
                </c:ext>
              </c:extLst>
            </c:dLbl>
            <c:dLbl>
              <c:idx val="11"/>
              <c:layout>
                <c:manualLayout>
                  <c:x val="-8.0773215925842388E-3"/>
                  <c:y val="-0.11621536891221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D9-4621-AFEF-319A789BED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Pivot!$C$13:$C$25</c:f>
              <c:numCache>
                <c:formatCode>_("£"* #,##0.00_);_("£"* \(#,##0.00\);_("£"* "-"??_);_(@_)</c:formatCode>
                <c:ptCount val="12"/>
                <c:pt idx="0">
                  <c:v>2014.1000000000004</c:v>
                </c:pt>
                <c:pt idx="1">
                  <c:v>6142.24</c:v>
                </c:pt>
                <c:pt idx="2">
                  <c:v>7874.949999999998</c:v>
                </c:pt>
                <c:pt idx="3">
                  <c:v>5616.1499999999978</c:v>
                </c:pt>
                <c:pt idx="4">
                  <c:v>10908.349999999999</c:v>
                </c:pt>
                <c:pt idx="5">
                  <c:v>7059.82</c:v>
                </c:pt>
                <c:pt idx="6">
                  <c:v>8051.0399999999991</c:v>
                </c:pt>
                <c:pt idx="7">
                  <c:v>12750.429999999997</c:v>
                </c:pt>
                <c:pt idx="8">
                  <c:v>13119.529999999995</c:v>
                </c:pt>
                <c:pt idx="9">
                  <c:v>13224.600000000002</c:v>
                </c:pt>
                <c:pt idx="10">
                  <c:v>10638.43</c:v>
                </c:pt>
                <c:pt idx="11">
                  <c:v>6096.39</c:v>
                </c:pt>
              </c:numCache>
            </c:numRef>
          </c:val>
          <c:smooth val="0"/>
          <c:extLst>
            <c:ext xmlns:c16="http://schemas.microsoft.com/office/drawing/2014/chart" uri="{C3380CC4-5D6E-409C-BE32-E72D297353CC}">
              <c16:uniqueId val="{00000000-61D9-4621-AFEF-319A789BEDC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6876544"/>
        <c:axId val="1206874624"/>
      </c:lineChart>
      <c:catAx>
        <c:axId val="1206876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chemeClr val="lt1"/>
                </a:solidFill>
                <a:latin typeface="+mn-lt"/>
                <a:ea typeface="+mn-ea"/>
                <a:cs typeface="+mn-cs"/>
              </a:defRPr>
            </a:pPr>
            <a:endParaRPr lang="en-US"/>
          </a:p>
        </c:txPr>
        <c:crossAx val="1206874624"/>
        <c:crosses val="autoZero"/>
        <c:auto val="1"/>
        <c:lblAlgn val="ctr"/>
        <c:lblOffset val="100"/>
        <c:noMultiLvlLbl val="0"/>
      </c:catAx>
      <c:valAx>
        <c:axId val="1206874624"/>
        <c:scaling>
          <c:orientation val="minMax"/>
        </c:scaling>
        <c:delete val="1"/>
        <c:axPos val="l"/>
        <c:numFmt formatCode="_(&quot;£&quot;* #,##0.00_);_(&quot;£&quot;* \(#,##0.00\);_(&quot;£&quot;* &quot;-&quot;??_);_(@_)" sourceLinked="1"/>
        <c:majorTickMark val="none"/>
        <c:minorTickMark val="none"/>
        <c:tickLblPos val="nextTo"/>
        <c:crossAx val="120687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[Sales_Performance_Analytics_Dashboard.xlsx]Pivot!Top Selling Category</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Pivot!$G$22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3C-4FC8-A8B7-09FC2088080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3C-4FC8-A8B7-09FC2088080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3C-4FC8-A8B7-09FC20880803}"/>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B3C-4FC8-A8B7-09FC20880803}"/>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B3C-4FC8-A8B7-09FC2088080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Pivot!$F$23:$F$28</c:f>
              <c:strCache>
                <c:ptCount val="5"/>
                <c:pt idx="0">
                  <c:v>London</c:v>
                </c:pt>
                <c:pt idx="1">
                  <c:v>Midlands</c:v>
                </c:pt>
                <c:pt idx="2">
                  <c:v>North West</c:v>
                </c:pt>
                <c:pt idx="3">
                  <c:v>Scotland</c:v>
                </c:pt>
                <c:pt idx="4">
                  <c:v>Yorkshire</c:v>
                </c:pt>
              </c:strCache>
            </c:strRef>
          </c:cat>
          <c:val>
            <c:numRef>
              <c:f>Pivot!$G$23:$G$28</c:f>
              <c:numCache>
                <c:formatCode>0</c:formatCode>
                <c:ptCount val="5"/>
                <c:pt idx="0">
                  <c:v>67</c:v>
                </c:pt>
                <c:pt idx="1">
                  <c:v>86</c:v>
                </c:pt>
                <c:pt idx="2">
                  <c:v>75</c:v>
                </c:pt>
                <c:pt idx="3">
                  <c:v>27</c:v>
                </c:pt>
                <c:pt idx="4">
                  <c:v>57</c:v>
                </c:pt>
              </c:numCache>
            </c:numRef>
          </c:val>
          <c:extLst>
            <c:ext xmlns:c16="http://schemas.microsoft.com/office/drawing/2014/chart" uri="{C3380CC4-5D6E-409C-BE32-E72D297353CC}">
              <c16:uniqueId val="{0000000A-5B3C-4FC8-A8B7-09FC20880803}"/>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[Sales_Performance_Analytics_Dashboard.xlsx]Pivot!Top 10 Customer</c:name>
    <c:fmtId val="8"/>
  </c:pivotSource>
  <c:chart>
    <c:title>
      <c:tx>
        <c:rich>
          <a:bodyPr rot="0" spcFirstLastPara="1" vertOverflow="ellipsis" vert="horz" wrap="square" anchor="ctr" anchorCtr="1"/>
          <a:lstStyle/>
          <a:p>
            <a:pPr algn="ctr" rtl="0">
              <a:defRPr lang="en-US" sz="1600" b="1" i="0"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5 Customers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Pivot!$K$12</c:f>
              <c:strCache>
                <c:ptCount val="1"/>
                <c:pt idx="0">
                  <c:v>Total</c:v>
                </c:pt>
              </c:strCache>
            </c:strRef>
          </c:tx>
          <c:spPr>
            <a:pattFill prst="ltUpDiag">
              <a:fgClr>
                <a:schemeClr val="accent1"/>
              </a:fgClr>
              <a:bgClr>
                <a:schemeClr val="lt1"/>
              </a:bgClr>
            </a:pattFill>
            <a:ln>
              <a:noFill/>
            </a:ln>
            <a:effectLst/>
          </c:spPr>
          <c:invertIfNegative val="0"/>
          <c:cat>
            <c:strRef>
              <c:f>Pivot!$J$13:$J$18</c:f>
              <c:strCache>
                <c:ptCount val="5"/>
                <c:pt idx="0">
                  <c:v>Isla Wilson</c:v>
                </c:pt>
                <c:pt idx="1">
                  <c:v>Chloe Clark</c:v>
                </c:pt>
                <c:pt idx="2">
                  <c:v>Alfie Lee</c:v>
                </c:pt>
                <c:pt idx="3">
                  <c:v>Freddie Rodriguez</c:v>
                </c:pt>
                <c:pt idx="4">
                  <c:v>Ella Lewis</c:v>
                </c:pt>
              </c:strCache>
            </c:strRef>
          </c:cat>
          <c:val>
            <c:numRef>
              <c:f>Pivot!$K$13:$K$18</c:f>
              <c:numCache>
                <c:formatCode>_("£"* #,##0.00_);_("£"* \(#,##0.00\);_("£"* "-"??_);_(@_)</c:formatCode>
                <c:ptCount val="5"/>
                <c:pt idx="0">
                  <c:v>7676.42</c:v>
                </c:pt>
                <c:pt idx="1">
                  <c:v>6384.52</c:v>
                </c:pt>
                <c:pt idx="2">
                  <c:v>5913.0299999999988</c:v>
                </c:pt>
                <c:pt idx="3">
                  <c:v>5841.37</c:v>
                </c:pt>
                <c:pt idx="4">
                  <c:v>5633.66</c:v>
                </c:pt>
              </c:numCache>
            </c:numRef>
          </c:val>
          <c:extLst>
            <c:ext xmlns:c16="http://schemas.microsoft.com/office/drawing/2014/chart" uri="{C3380CC4-5D6E-409C-BE32-E72D297353CC}">
              <c16:uniqueId val="{00000000-DD85-4A21-94E2-8B933C725B6D}"/>
            </c:ext>
          </c:extLst>
        </c:ser>
        <c:dLbls>
          <c:showLegendKey val="0"/>
          <c:showVal val="0"/>
          <c:showCatName val="0"/>
          <c:showSerName val="0"/>
          <c:showPercent val="0"/>
          <c:showBubbleSize val="0"/>
        </c:dLbls>
        <c:gapWidth val="269"/>
        <c:overlap val="-20"/>
        <c:axId val="2006962671"/>
        <c:axId val="2006951631"/>
      </c:barChart>
      <c:catAx>
        <c:axId val="200696267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06951631"/>
        <c:crosses val="autoZero"/>
        <c:auto val="1"/>
        <c:lblAlgn val="ctr"/>
        <c:lblOffset val="100"/>
        <c:noMultiLvlLbl val="0"/>
      </c:catAx>
      <c:valAx>
        <c:axId val="2006951631"/>
        <c:scaling>
          <c:orientation val="minMax"/>
        </c:scaling>
        <c:delete val="1"/>
        <c:axPos val="l"/>
        <c:numFmt formatCode="_(&quot;£&quot;* #,##0.00_);_(&quot;£&quot;* \(#,##0.00\);_(&quot;£&quot;* &quot;-&quot;??_);_(@_)" sourceLinked="1"/>
        <c:majorTickMark val="none"/>
        <c:minorTickMark val="none"/>
        <c:tickLblPos val="nextTo"/>
        <c:crossAx val="200696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128058</xdr:colOff>
      <xdr:row>5</xdr:row>
      <xdr:rowOff>95250</xdr:rowOff>
    </xdr:from>
    <xdr:to>
      <xdr:col>12</xdr:col>
      <xdr:colOff>408517</xdr:colOff>
      <xdr:row>19</xdr:row>
      <xdr:rowOff>171450</xdr:rowOff>
    </xdr:to>
    <xdr:graphicFrame macro="">
      <xdr:nvGraphicFramePr>
        <xdr:cNvPr id="2" name="Chart 1">
          <a:extLst>
            <a:ext uri="{FF2B5EF4-FFF2-40B4-BE49-F238E27FC236}">
              <a16:creationId xmlns:a16="http://schemas.microsoft.com/office/drawing/2014/main" id="{2E7BC044-37DA-43D0-9D0A-905FEC7E8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103717</xdr:colOff>
      <xdr:row>5</xdr:row>
      <xdr:rowOff>93133</xdr:rowOff>
    </xdr:from>
    <xdr:to>
      <xdr:col>15</xdr:col>
      <xdr:colOff>380999</xdr:colOff>
      <xdr:row>20</xdr:row>
      <xdr:rowOff>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865A8EC-B2F1-49B7-82F2-425518D130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01717" y="1214966"/>
              <a:ext cx="1504949" cy="2764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20</xdr:row>
      <xdr:rowOff>137584</xdr:rowOff>
    </xdr:from>
    <xdr:to>
      <xdr:col>7</xdr:col>
      <xdr:colOff>201082</xdr:colOff>
      <xdr:row>37</xdr:row>
      <xdr:rowOff>42334</xdr:rowOff>
    </xdr:to>
    <xdr:graphicFrame macro="">
      <xdr:nvGraphicFramePr>
        <xdr:cNvPr id="13" name="Chart 12">
          <a:extLst>
            <a:ext uri="{FF2B5EF4-FFF2-40B4-BE49-F238E27FC236}">
              <a16:creationId xmlns:a16="http://schemas.microsoft.com/office/drawing/2014/main" id="{64848A94-F22C-4D20-B022-DB45CD1C6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709082</xdr:colOff>
      <xdr:row>20</xdr:row>
      <xdr:rowOff>148165</xdr:rowOff>
    </xdr:from>
    <xdr:to>
      <xdr:col>15</xdr:col>
      <xdr:colOff>137582</xdr:colOff>
      <xdr:row>37</xdr:row>
      <xdr:rowOff>52916</xdr:rowOff>
    </xdr:to>
    <xdr:graphicFrame macro="">
      <xdr:nvGraphicFramePr>
        <xdr:cNvPr id="4" name="Chart 3">
          <a:extLst>
            <a:ext uri="{FF2B5EF4-FFF2-40B4-BE49-F238E27FC236}">
              <a16:creationId xmlns:a16="http://schemas.microsoft.com/office/drawing/2014/main" id="{73D3B08A-72AD-4E04-9D2B-B1D912EE8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er Aydin" refreshedDate="46122.04154953704" createdVersion="8" refreshedVersion="8" minRefreshableVersion="3" recordCount="312" xr:uid="{D44F5266-DDEE-4F9E-8BDA-FB4A3A334D9F}">
  <cacheSource type="worksheet">
    <worksheetSource name="Orders"/>
  </cacheSource>
  <cacheFields count="14">
    <cacheField name="OrderID" numFmtId="1">
      <sharedItems containsSemiMixedTypes="0" containsString="0" containsNumber="1" containsInteger="1" minValue="1001" maxValue="1312"/>
    </cacheField>
    <cacheField name="OrderDate" numFmtId="14">
      <sharedItems containsSemiMixedTypes="0" containsNonDate="0" containsDate="1" containsString="0" minDate="2025-01-02T00:00:00" maxDate="2026-01-01T00:00:00" count="274">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2-21T00:00:00"/>
        <d v="2025-02-24T00:00:00"/>
        <d v="2025-02-25T00:00:00"/>
        <d v="2025-02-26T00:00:00"/>
        <d v="2025-02-27T00:00:00"/>
        <d v="2025-02-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1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5T00:00:00"/>
        <d v="2025-12-26T00:00:00"/>
        <d v="2025-12-29T00:00:00"/>
        <d v="2025-12-30T00:00:00"/>
        <d v="2025-12-31T00:00:00"/>
      </sharedItems>
    </cacheField>
    <cacheField name="CustomerID" numFmtId="0">
      <sharedItems/>
    </cacheField>
    <cacheField name="ProductID" numFmtId="0">
      <sharedItems count="20">
        <s v="P001"/>
        <s v="P003"/>
        <s v="P002"/>
        <s v="P004"/>
        <s v="P005"/>
        <s v="P006"/>
        <s v="P008"/>
        <s v="P009"/>
        <s v="P010"/>
        <s v="P011"/>
        <s v="P012"/>
        <s v="P013"/>
        <s v="P014"/>
        <s v="P015"/>
        <s v="P016"/>
        <s v="P017"/>
        <s v="P018"/>
        <s v="P019"/>
        <s v="P020"/>
        <s v="P007"/>
      </sharedItems>
    </cacheField>
    <cacheField name="Quantity" numFmtId="1">
      <sharedItems containsSemiMixedTypes="0" containsString="0" containsNumber="1" containsInteger="1" minValue="1" maxValue="10" count="10">
        <n v="2"/>
        <n v="1"/>
        <n v="5"/>
        <n v="3"/>
        <n v="4"/>
        <n v="6"/>
        <n v="8"/>
        <n v="10"/>
        <n v="7"/>
        <n v="9"/>
      </sharedItems>
    </cacheField>
    <cacheField name="UnitPrice" numFmtId="44">
      <sharedItems containsSemiMixedTypes="0" containsString="0" containsNumber="1" minValue="3.99" maxValue="399.99"/>
    </cacheField>
    <cacheField name="RegionID" numFmtId="0">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5" maxValue="2025" count="1">
        <n v="2025"/>
      </sharedItems>
    </cacheField>
    <cacheField name="Revenue" numFmtId="44">
      <sharedItems containsSemiMixedTypes="0" containsString="0" containsNumber="1" minValue="3.99" maxValue="3999.9"/>
    </cacheField>
    <cacheField name="CustomerName" numFmtId="44">
      <sharedItems count="30">
        <s v="James Smith"/>
        <s v="Emily Johnson"/>
        <s v="Oliver Brown"/>
        <s v="Sophia Williams"/>
        <s v="Harry Jones"/>
        <s v="Amelia Taylor"/>
        <s v="Jack Davies"/>
        <s v="Isla Wilson"/>
        <s v="Charlie Evans"/>
        <s v="Ava Thomas"/>
        <s v="George White"/>
        <s v="Mia Harris"/>
        <s v="Noah Martin"/>
        <s v="Lily Thompson"/>
        <s v="Oscar Garcia"/>
        <s v="Grace Martinez"/>
        <s v="Leo Robinson"/>
        <s v="Chloe Clark"/>
        <s v="Freddie Rodriguez"/>
        <s v="Ella Lewis"/>
        <s v="Alfie Lee"/>
        <s v="Evie Walker"/>
        <s v="Arthur Hall"/>
        <s v="Isabella Allen"/>
        <s v="Theo Young"/>
        <s v="Poppy King"/>
        <s v="Henry Wright"/>
        <s v="Ruby Scott"/>
        <s v="Jacob Green"/>
        <s v="Sophie Adams"/>
      </sharedItems>
    </cacheField>
    <cacheField name="ProductName" numFmtId="44">
      <sharedItems count="20">
        <s v="Wireless Mouse"/>
        <s v="Smartphone"/>
        <s v="Notebook"/>
        <s v="Office Chair"/>
        <s v="Coffee Mug"/>
        <s v="Desk Lamp"/>
        <s v="Monitor 24 inch"/>
        <s v="Water Bottle"/>
        <s v="Backpack"/>
        <s v="Pen Set"/>
        <s v="Tablet"/>
        <s v="Printer"/>
        <s v="Desk Organizer"/>
        <s v="Headphones"/>
        <s v="Standing Desk"/>
        <s v="Sticky Notes"/>
        <s v="Laptop Stand"/>
        <s v="Webcam"/>
        <s v="Extension Cable"/>
        <s v="Bluetooth Keyboard"/>
      </sharedItems>
    </cacheField>
    <cacheField name="CategoryName" numFmtId="44">
      <sharedItems count="6">
        <s v="Electronics"/>
        <s v="Stationery"/>
        <s v="Furniture"/>
        <s v="Home"/>
        <s v="Accessories"/>
        <s v="Office Supplies"/>
      </sharedItems>
    </cacheField>
    <cacheField name="RegionName" numFmtId="44">
      <sharedItems count="5">
        <s v="London"/>
        <s v="North West"/>
        <s v="Midlands"/>
        <s v="Yorkshire"/>
        <s v="Scotland"/>
      </sharedItems>
    </cacheField>
  </cacheFields>
  <extLst>
    <ext xmlns:x14="http://schemas.microsoft.com/office/spreadsheetml/2009/9/main" uri="{725AE2AE-9491-48be-B2B4-4EB974FC3084}">
      <x14:pivotCacheDefinition pivotCacheId="1357323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n v="1001"/>
    <x v="0"/>
    <s v="C001"/>
    <x v="0"/>
    <x v="0"/>
    <n v="25.99"/>
    <s v="R01"/>
    <x v="0"/>
    <x v="0"/>
    <n v="51.98"/>
    <x v="0"/>
    <x v="0"/>
    <x v="0"/>
    <x v="0"/>
  </r>
  <r>
    <n v="1002"/>
    <x v="1"/>
    <s v="C002"/>
    <x v="1"/>
    <x v="1"/>
    <n v="199.99"/>
    <s v="R02"/>
    <x v="0"/>
    <x v="0"/>
    <n v="199.99"/>
    <x v="1"/>
    <x v="1"/>
    <x v="0"/>
    <x v="1"/>
  </r>
  <r>
    <n v="1003"/>
    <x v="2"/>
    <s v="C003"/>
    <x v="2"/>
    <x v="2"/>
    <n v="15.5"/>
    <s v="R03"/>
    <x v="0"/>
    <x v="0"/>
    <n v="77.5"/>
    <x v="2"/>
    <x v="2"/>
    <x v="1"/>
    <x v="2"/>
  </r>
  <r>
    <n v="1004"/>
    <x v="3"/>
    <s v="C004"/>
    <x v="3"/>
    <x v="1"/>
    <n v="89.99"/>
    <s v="R04"/>
    <x v="0"/>
    <x v="0"/>
    <n v="89.99"/>
    <x v="3"/>
    <x v="3"/>
    <x v="2"/>
    <x v="3"/>
  </r>
  <r>
    <n v="1005"/>
    <x v="4"/>
    <s v="C005"/>
    <x v="4"/>
    <x v="3"/>
    <n v="9.99"/>
    <s v="R02"/>
    <x v="0"/>
    <x v="0"/>
    <n v="29.97"/>
    <x v="4"/>
    <x v="4"/>
    <x v="3"/>
    <x v="1"/>
  </r>
  <r>
    <n v="1006"/>
    <x v="5"/>
    <s v="C006"/>
    <x v="5"/>
    <x v="0"/>
    <n v="49.99"/>
    <s v="R03"/>
    <x v="0"/>
    <x v="0"/>
    <n v="99.98"/>
    <x v="5"/>
    <x v="5"/>
    <x v="2"/>
    <x v="2"/>
  </r>
  <r>
    <n v="1007"/>
    <x v="6"/>
    <s v="C007"/>
    <x v="6"/>
    <x v="1"/>
    <n v="149.99"/>
    <s v="R05"/>
    <x v="0"/>
    <x v="0"/>
    <n v="149.99"/>
    <x v="6"/>
    <x v="6"/>
    <x v="0"/>
    <x v="4"/>
  </r>
  <r>
    <n v="1008"/>
    <x v="7"/>
    <s v="C008"/>
    <x v="7"/>
    <x v="4"/>
    <n v="12.99"/>
    <s v="R01"/>
    <x v="0"/>
    <x v="0"/>
    <n v="51.96"/>
    <x v="7"/>
    <x v="7"/>
    <x v="3"/>
    <x v="0"/>
  </r>
  <r>
    <n v="1009"/>
    <x v="8"/>
    <s v="C009"/>
    <x v="8"/>
    <x v="1"/>
    <n v="39.99"/>
    <s v="R04"/>
    <x v="0"/>
    <x v="0"/>
    <n v="39.99"/>
    <x v="8"/>
    <x v="8"/>
    <x v="4"/>
    <x v="3"/>
  </r>
  <r>
    <n v="1010"/>
    <x v="9"/>
    <s v="C010"/>
    <x v="9"/>
    <x v="5"/>
    <n v="5.99"/>
    <s v="R03"/>
    <x v="0"/>
    <x v="0"/>
    <n v="35.94"/>
    <x v="9"/>
    <x v="9"/>
    <x v="1"/>
    <x v="2"/>
  </r>
  <r>
    <n v="1011"/>
    <x v="10"/>
    <s v="C011"/>
    <x v="10"/>
    <x v="1"/>
    <n v="299.99"/>
    <s v="R03"/>
    <x v="0"/>
    <x v="0"/>
    <n v="299.99"/>
    <x v="10"/>
    <x v="10"/>
    <x v="0"/>
    <x v="2"/>
  </r>
  <r>
    <n v="1012"/>
    <x v="11"/>
    <s v="C012"/>
    <x v="11"/>
    <x v="1"/>
    <n v="129.99"/>
    <s v="R03"/>
    <x v="0"/>
    <x v="0"/>
    <n v="129.99"/>
    <x v="11"/>
    <x v="11"/>
    <x v="0"/>
    <x v="2"/>
  </r>
  <r>
    <n v="1013"/>
    <x v="12"/>
    <s v="C013"/>
    <x v="12"/>
    <x v="0"/>
    <n v="19.989999999999998"/>
    <s v="R02"/>
    <x v="0"/>
    <x v="0"/>
    <n v="39.979999999999997"/>
    <x v="12"/>
    <x v="12"/>
    <x v="5"/>
    <x v="1"/>
  </r>
  <r>
    <n v="1014"/>
    <x v="13"/>
    <s v="C014"/>
    <x v="13"/>
    <x v="1"/>
    <n v="79.989999999999995"/>
    <s v="R02"/>
    <x v="0"/>
    <x v="0"/>
    <n v="79.989999999999995"/>
    <x v="13"/>
    <x v="13"/>
    <x v="0"/>
    <x v="1"/>
  </r>
  <r>
    <n v="1015"/>
    <x v="14"/>
    <s v="C015"/>
    <x v="14"/>
    <x v="1"/>
    <n v="399.99"/>
    <s v="R01"/>
    <x v="0"/>
    <x v="0"/>
    <n v="399.99"/>
    <x v="14"/>
    <x v="14"/>
    <x v="2"/>
    <x v="0"/>
  </r>
  <r>
    <n v="1016"/>
    <x v="15"/>
    <s v="C016"/>
    <x v="15"/>
    <x v="2"/>
    <n v="3.99"/>
    <s v="R01"/>
    <x v="0"/>
    <x v="0"/>
    <n v="19.950000000000003"/>
    <x v="15"/>
    <x v="15"/>
    <x v="1"/>
    <x v="0"/>
  </r>
  <r>
    <n v="1017"/>
    <x v="16"/>
    <s v="C017"/>
    <x v="16"/>
    <x v="0"/>
    <n v="29.99"/>
    <s v="R03"/>
    <x v="0"/>
    <x v="0"/>
    <n v="59.98"/>
    <x v="16"/>
    <x v="16"/>
    <x v="4"/>
    <x v="2"/>
  </r>
  <r>
    <n v="1018"/>
    <x v="17"/>
    <s v="C018"/>
    <x v="17"/>
    <x v="1"/>
    <n v="59.99"/>
    <s v="R02"/>
    <x v="0"/>
    <x v="0"/>
    <n v="59.99"/>
    <x v="17"/>
    <x v="17"/>
    <x v="0"/>
    <x v="1"/>
  </r>
  <r>
    <n v="1019"/>
    <x v="18"/>
    <s v="C019"/>
    <x v="18"/>
    <x v="3"/>
    <n v="14.99"/>
    <s v="R02"/>
    <x v="0"/>
    <x v="0"/>
    <n v="44.97"/>
    <x v="18"/>
    <x v="18"/>
    <x v="0"/>
    <x v="1"/>
  </r>
  <r>
    <n v="1020"/>
    <x v="19"/>
    <s v="C020"/>
    <x v="0"/>
    <x v="0"/>
    <n v="25.99"/>
    <s v="R04"/>
    <x v="0"/>
    <x v="0"/>
    <n v="51.98"/>
    <x v="19"/>
    <x v="0"/>
    <x v="0"/>
    <x v="3"/>
  </r>
  <r>
    <n v="1021"/>
    <x v="20"/>
    <s v="C021"/>
    <x v="2"/>
    <x v="3"/>
    <n v="15.5"/>
    <s v="R04"/>
    <x v="1"/>
    <x v="0"/>
    <n v="46.5"/>
    <x v="20"/>
    <x v="2"/>
    <x v="1"/>
    <x v="3"/>
  </r>
  <r>
    <n v="1022"/>
    <x v="21"/>
    <s v="C022"/>
    <x v="1"/>
    <x v="1"/>
    <n v="199.99"/>
    <s v="R03"/>
    <x v="1"/>
    <x v="0"/>
    <n v="199.99"/>
    <x v="21"/>
    <x v="1"/>
    <x v="0"/>
    <x v="2"/>
  </r>
  <r>
    <n v="1023"/>
    <x v="22"/>
    <s v="C023"/>
    <x v="3"/>
    <x v="0"/>
    <n v="89.99"/>
    <s v="R03"/>
    <x v="1"/>
    <x v="0"/>
    <n v="179.98"/>
    <x v="22"/>
    <x v="3"/>
    <x v="2"/>
    <x v="2"/>
  </r>
  <r>
    <n v="1024"/>
    <x v="23"/>
    <s v="C024"/>
    <x v="4"/>
    <x v="4"/>
    <n v="9.99"/>
    <s v="R01"/>
    <x v="1"/>
    <x v="0"/>
    <n v="39.96"/>
    <x v="23"/>
    <x v="4"/>
    <x v="3"/>
    <x v="0"/>
  </r>
  <r>
    <n v="1025"/>
    <x v="24"/>
    <s v="C025"/>
    <x v="5"/>
    <x v="1"/>
    <n v="49.99"/>
    <s v="R05"/>
    <x v="1"/>
    <x v="0"/>
    <n v="49.99"/>
    <x v="24"/>
    <x v="5"/>
    <x v="2"/>
    <x v="4"/>
  </r>
  <r>
    <n v="1026"/>
    <x v="25"/>
    <s v="C026"/>
    <x v="19"/>
    <x v="0"/>
    <n v="45.99"/>
    <s v="R05"/>
    <x v="1"/>
    <x v="0"/>
    <n v="91.98"/>
    <x v="25"/>
    <x v="19"/>
    <x v="0"/>
    <x v="4"/>
  </r>
  <r>
    <n v="1027"/>
    <x v="26"/>
    <s v="C027"/>
    <x v="6"/>
    <x v="1"/>
    <n v="149.99"/>
    <s v="R04"/>
    <x v="1"/>
    <x v="0"/>
    <n v="149.99"/>
    <x v="26"/>
    <x v="6"/>
    <x v="0"/>
    <x v="3"/>
  </r>
  <r>
    <n v="1028"/>
    <x v="27"/>
    <s v="C028"/>
    <x v="7"/>
    <x v="3"/>
    <n v="12.99"/>
    <s v="R02"/>
    <x v="1"/>
    <x v="0"/>
    <n v="38.97"/>
    <x v="27"/>
    <x v="7"/>
    <x v="3"/>
    <x v="1"/>
  </r>
  <r>
    <n v="1029"/>
    <x v="28"/>
    <s v="C029"/>
    <x v="8"/>
    <x v="0"/>
    <n v="39.99"/>
    <s v="R04"/>
    <x v="1"/>
    <x v="0"/>
    <n v="79.98"/>
    <x v="28"/>
    <x v="8"/>
    <x v="4"/>
    <x v="3"/>
  </r>
  <r>
    <n v="1030"/>
    <x v="29"/>
    <s v="C030"/>
    <x v="9"/>
    <x v="2"/>
    <n v="5.99"/>
    <s v="R01"/>
    <x v="1"/>
    <x v="0"/>
    <n v="29.950000000000003"/>
    <x v="29"/>
    <x v="9"/>
    <x v="1"/>
    <x v="0"/>
  </r>
  <r>
    <n v="1031"/>
    <x v="30"/>
    <s v="C001"/>
    <x v="10"/>
    <x v="1"/>
    <n v="299.99"/>
    <s v="R01"/>
    <x v="1"/>
    <x v="0"/>
    <n v="299.99"/>
    <x v="0"/>
    <x v="10"/>
    <x v="0"/>
    <x v="0"/>
  </r>
  <r>
    <n v="1032"/>
    <x v="31"/>
    <s v="C002"/>
    <x v="11"/>
    <x v="1"/>
    <n v="129.99"/>
    <s v="R02"/>
    <x v="1"/>
    <x v="0"/>
    <n v="129.99"/>
    <x v="1"/>
    <x v="11"/>
    <x v="0"/>
    <x v="1"/>
  </r>
  <r>
    <n v="1033"/>
    <x v="32"/>
    <s v="C003"/>
    <x v="12"/>
    <x v="0"/>
    <n v="19.989999999999998"/>
    <s v="R03"/>
    <x v="1"/>
    <x v="0"/>
    <n v="39.979999999999997"/>
    <x v="2"/>
    <x v="12"/>
    <x v="5"/>
    <x v="2"/>
  </r>
  <r>
    <n v="1034"/>
    <x v="33"/>
    <s v="C004"/>
    <x v="13"/>
    <x v="1"/>
    <n v="79.989999999999995"/>
    <s v="R04"/>
    <x v="1"/>
    <x v="0"/>
    <n v="79.989999999999995"/>
    <x v="3"/>
    <x v="13"/>
    <x v="0"/>
    <x v="3"/>
  </r>
  <r>
    <n v="1035"/>
    <x v="34"/>
    <s v="C005"/>
    <x v="14"/>
    <x v="1"/>
    <n v="399.99"/>
    <s v="R02"/>
    <x v="1"/>
    <x v="0"/>
    <n v="399.99"/>
    <x v="4"/>
    <x v="14"/>
    <x v="2"/>
    <x v="1"/>
  </r>
  <r>
    <n v="1036"/>
    <x v="35"/>
    <s v="C006"/>
    <x v="15"/>
    <x v="5"/>
    <n v="3.99"/>
    <s v="R03"/>
    <x v="1"/>
    <x v="0"/>
    <n v="23.94"/>
    <x v="5"/>
    <x v="15"/>
    <x v="1"/>
    <x v="2"/>
  </r>
  <r>
    <n v="1037"/>
    <x v="36"/>
    <s v="C007"/>
    <x v="16"/>
    <x v="0"/>
    <n v="29.99"/>
    <s v="R05"/>
    <x v="1"/>
    <x v="0"/>
    <n v="59.98"/>
    <x v="6"/>
    <x v="16"/>
    <x v="4"/>
    <x v="4"/>
  </r>
  <r>
    <n v="1038"/>
    <x v="37"/>
    <s v="C008"/>
    <x v="17"/>
    <x v="1"/>
    <n v="59.99"/>
    <s v="R01"/>
    <x v="1"/>
    <x v="0"/>
    <n v="59.99"/>
    <x v="7"/>
    <x v="17"/>
    <x v="0"/>
    <x v="0"/>
  </r>
  <r>
    <n v="1039"/>
    <x v="38"/>
    <s v="C009"/>
    <x v="18"/>
    <x v="4"/>
    <n v="14.99"/>
    <s v="R04"/>
    <x v="1"/>
    <x v="0"/>
    <n v="59.96"/>
    <x v="8"/>
    <x v="18"/>
    <x v="0"/>
    <x v="3"/>
  </r>
  <r>
    <n v="1040"/>
    <x v="39"/>
    <s v="C010"/>
    <x v="0"/>
    <x v="3"/>
    <n v="25.99"/>
    <s v="R03"/>
    <x v="1"/>
    <x v="0"/>
    <n v="77.97"/>
    <x v="9"/>
    <x v="0"/>
    <x v="0"/>
    <x v="2"/>
  </r>
  <r>
    <n v="1041"/>
    <x v="40"/>
    <s v="C011"/>
    <x v="2"/>
    <x v="0"/>
    <n v="15.5"/>
    <s v="R03"/>
    <x v="2"/>
    <x v="0"/>
    <n v="31"/>
    <x v="10"/>
    <x v="2"/>
    <x v="1"/>
    <x v="2"/>
  </r>
  <r>
    <n v="1042"/>
    <x v="41"/>
    <s v="C012"/>
    <x v="1"/>
    <x v="1"/>
    <n v="199.99"/>
    <s v="R03"/>
    <x v="2"/>
    <x v="0"/>
    <n v="199.99"/>
    <x v="11"/>
    <x v="1"/>
    <x v="0"/>
    <x v="2"/>
  </r>
  <r>
    <n v="1043"/>
    <x v="42"/>
    <s v="C013"/>
    <x v="3"/>
    <x v="1"/>
    <n v="89.99"/>
    <s v="R02"/>
    <x v="2"/>
    <x v="0"/>
    <n v="89.99"/>
    <x v="12"/>
    <x v="3"/>
    <x v="2"/>
    <x v="1"/>
  </r>
  <r>
    <n v="1044"/>
    <x v="43"/>
    <s v="C014"/>
    <x v="4"/>
    <x v="2"/>
    <n v="9.99"/>
    <s v="R02"/>
    <x v="2"/>
    <x v="0"/>
    <n v="49.95"/>
    <x v="13"/>
    <x v="4"/>
    <x v="3"/>
    <x v="1"/>
  </r>
  <r>
    <n v="1045"/>
    <x v="44"/>
    <s v="C015"/>
    <x v="5"/>
    <x v="0"/>
    <n v="49.99"/>
    <s v="R01"/>
    <x v="2"/>
    <x v="0"/>
    <n v="99.98"/>
    <x v="14"/>
    <x v="5"/>
    <x v="2"/>
    <x v="0"/>
  </r>
  <r>
    <n v="1046"/>
    <x v="45"/>
    <s v="C016"/>
    <x v="19"/>
    <x v="1"/>
    <n v="45.99"/>
    <s v="R01"/>
    <x v="2"/>
    <x v="0"/>
    <n v="45.99"/>
    <x v="15"/>
    <x v="19"/>
    <x v="0"/>
    <x v="0"/>
  </r>
  <r>
    <n v="1047"/>
    <x v="46"/>
    <s v="C017"/>
    <x v="6"/>
    <x v="1"/>
    <n v="149.99"/>
    <s v="R03"/>
    <x v="2"/>
    <x v="0"/>
    <n v="149.99"/>
    <x v="16"/>
    <x v="6"/>
    <x v="0"/>
    <x v="2"/>
  </r>
  <r>
    <n v="1048"/>
    <x v="47"/>
    <s v="C018"/>
    <x v="7"/>
    <x v="3"/>
    <n v="12.99"/>
    <s v="R02"/>
    <x v="2"/>
    <x v="0"/>
    <n v="38.97"/>
    <x v="17"/>
    <x v="7"/>
    <x v="3"/>
    <x v="1"/>
  </r>
  <r>
    <n v="1049"/>
    <x v="48"/>
    <s v="C019"/>
    <x v="8"/>
    <x v="0"/>
    <n v="39.99"/>
    <s v="R02"/>
    <x v="2"/>
    <x v="0"/>
    <n v="79.98"/>
    <x v="18"/>
    <x v="8"/>
    <x v="4"/>
    <x v="1"/>
  </r>
  <r>
    <n v="1050"/>
    <x v="49"/>
    <s v="C020"/>
    <x v="9"/>
    <x v="4"/>
    <n v="5.99"/>
    <s v="R04"/>
    <x v="2"/>
    <x v="0"/>
    <n v="23.96"/>
    <x v="19"/>
    <x v="9"/>
    <x v="1"/>
    <x v="3"/>
  </r>
  <r>
    <n v="1051"/>
    <x v="50"/>
    <s v="C021"/>
    <x v="10"/>
    <x v="1"/>
    <n v="299.99"/>
    <s v="R04"/>
    <x v="2"/>
    <x v="0"/>
    <n v="299.99"/>
    <x v="20"/>
    <x v="10"/>
    <x v="0"/>
    <x v="3"/>
  </r>
  <r>
    <n v="1052"/>
    <x v="51"/>
    <s v="C022"/>
    <x v="11"/>
    <x v="1"/>
    <n v="129.99"/>
    <s v="R03"/>
    <x v="2"/>
    <x v="0"/>
    <n v="129.99"/>
    <x v="21"/>
    <x v="11"/>
    <x v="0"/>
    <x v="2"/>
  </r>
  <r>
    <n v="1053"/>
    <x v="52"/>
    <s v="C023"/>
    <x v="12"/>
    <x v="3"/>
    <n v="19.989999999999998"/>
    <s v="R03"/>
    <x v="2"/>
    <x v="0"/>
    <n v="59.97"/>
    <x v="22"/>
    <x v="12"/>
    <x v="5"/>
    <x v="2"/>
  </r>
  <r>
    <n v="1054"/>
    <x v="53"/>
    <s v="C024"/>
    <x v="13"/>
    <x v="0"/>
    <n v="79.989999999999995"/>
    <s v="R01"/>
    <x v="2"/>
    <x v="0"/>
    <n v="159.97999999999999"/>
    <x v="23"/>
    <x v="13"/>
    <x v="0"/>
    <x v="0"/>
  </r>
  <r>
    <n v="1055"/>
    <x v="54"/>
    <s v="C025"/>
    <x v="14"/>
    <x v="1"/>
    <n v="399.99"/>
    <s v="R05"/>
    <x v="2"/>
    <x v="0"/>
    <n v="399.99"/>
    <x v="24"/>
    <x v="14"/>
    <x v="2"/>
    <x v="4"/>
  </r>
  <r>
    <n v="1056"/>
    <x v="55"/>
    <s v="C026"/>
    <x v="15"/>
    <x v="4"/>
    <n v="3.99"/>
    <s v="R05"/>
    <x v="2"/>
    <x v="0"/>
    <n v="15.96"/>
    <x v="25"/>
    <x v="15"/>
    <x v="1"/>
    <x v="4"/>
  </r>
  <r>
    <n v="1057"/>
    <x v="56"/>
    <s v="C027"/>
    <x v="16"/>
    <x v="0"/>
    <n v="29.99"/>
    <s v="R04"/>
    <x v="2"/>
    <x v="0"/>
    <n v="59.98"/>
    <x v="26"/>
    <x v="16"/>
    <x v="4"/>
    <x v="3"/>
  </r>
  <r>
    <n v="1058"/>
    <x v="57"/>
    <s v="C028"/>
    <x v="17"/>
    <x v="1"/>
    <n v="59.99"/>
    <s v="R02"/>
    <x v="2"/>
    <x v="0"/>
    <n v="59.99"/>
    <x v="27"/>
    <x v="17"/>
    <x v="0"/>
    <x v="1"/>
  </r>
  <r>
    <n v="1059"/>
    <x v="58"/>
    <s v="C029"/>
    <x v="18"/>
    <x v="2"/>
    <n v="14.99"/>
    <s v="R04"/>
    <x v="2"/>
    <x v="0"/>
    <n v="74.95"/>
    <x v="28"/>
    <x v="18"/>
    <x v="0"/>
    <x v="3"/>
  </r>
  <r>
    <n v="1060"/>
    <x v="59"/>
    <s v="C030"/>
    <x v="0"/>
    <x v="3"/>
    <n v="25.99"/>
    <s v="R01"/>
    <x v="2"/>
    <x v="0"/>
    <n v="77.97"/>
    <x v="29"/>
    <x v="0"/>
    <x v="0"/>
    <x v="0"/>
  </r>
  <r>
    <n v="1061"/>
    <x v="60"/>
    <s v="C001"/>
    <x v="2"/>
    <x v="0"/>
    <n v="15.5"/>
    <s v="R01"/>
    <x v="2"/>
    <x v="0"/>
    <n v="31"/>
    <x v="0"/>
    <x v="2"/>
    <x v="1"/>
    <x v="0"/>
  </r>
  <r>
    <n v="1062"/>
    <x v="61"/>
    <s v="C002"/>
    <x v="1"/>
    <x v="1"/>
    <n v="199.99"/>
    <s v="R02"/>
    <x v="2"/>
    <x v="0"/>
    <n v="199.99"/>
    <x v="1"/>
    <x v="1"/>
    <x v="0"/>
    <x v="1"/>
  </r>
  <r>
    <n v="1063"/>
    <x v="62"/>
    <s v="C003"/>
    <x v="3"/>
    <x v="1"/>
    <n v="89.99"/>
    <s v="R03"/>
    <x v="2"/>
    <x v="0"/>
    <n v="89.99"/>
    <x v="2"/>
    <x v="3"/>
    <x v="2"/>
    <x v="2"/>
  </r>
  <r>
    <n v="1064"/>
    <x v="63"/>
    <s v="C004"/>
    <x v="4"/>
    <x v="5"/>
    <n v="9.99"/>
    <s v="R04"/>
    <x v="2"/>
    <x v="0"/>
    <n v="59.94"/>
    <x v="3"/>
    <x v="4"/>
    <x v="3"/>
    <x v="3"/>
  </r>
  <r>
    <n v="1065"/>
    <x v="64"/>
    <s v="C005"/>
    <x v="5"/>
    <x v="0"/>
    <n v="49.99"/>
    <s v="R02"/>
    <x v="2"/>
    <x v="0"/>
    <n v="99.98"/>
    <x v="4"/>
    <x v="5"/>
    <x v="2"/>
    <x v="1"/>
  </r>
  <r>
    <n v="1066"/>
    <x v="65"/>
    <s v="C006"/>
    <x v="19"/>
    <x v="1"/>
    <n v="45.99"/>
    <s v="R03"/>
    <x v="2"/>
    <x v="0"/>
    <n v="45.99"/>
    <x v="5"/>
    <x v="19"/>
    <x v="0"/>
    <x v="2"/>
  </r>
  <r>
    <n v="1067"/>
    <x v="66"/>
    <s v="C007"/>
    <x v="6"/>
    <x v="1"/>
    <n v="149.99"/>
    <s v="R05"/>
    <x v="2"/>
    <x v="0"/>
    <n v="149.99"/>
    <x v="6"/>
    <x v="6"/>
    <x v="0"/>
    <x v="4"/>
  </r>
  <r>
    <n v="1068"/>
    <x v="67"/>
    <s v="C008"/>
    <x v="7"/>
    <x v="3"/>
    <n v="12.99"/>
    <s v="R01"/>
    <x v="2"/>
    <x v="0"/>
    <n v="38.97"/>
    <x v="7"/>
    <x v="7"/>
    <x v="3"/>
    <x v="0"/>
  </r>
  <r>
    <n v="1069"/>
    <x v="68"/>
    <s v="C009"/>
    <x v="8"/>
    <x v="0"/>
    <n v="39.99"/>
    <s v="R04"/>
    <x v="2"/>
    <x v="0"/>
    <n v="79.98"/>
    <x v="8"/>
    <x v="8"/>
    <x v="4"/>
    <x v="3"/>
  </r>
  <r>
    <n v="1070"/>
    <x v="69"/>
    <s v="C010"/>
    <x v="9"/>
    <x v="2"/>
    <n v="5.99"/>
    <s v="R03"/>
    <x v="2"/>
    <x v="0"/>
    <n v="29.950000000000003"/>
    <x v="9"/>
    <x v="9"/>
    <x v="1"/>
    <x v="2"/>
  </r>
  <r>
    <n v="1071"/>
    <x v="20"/>
    <s v="C011"/>
    <x v="0"/>
    <x v="0"/>
    <n v="25.99"/>
    <s v="R03"/>
    <x v="1"/>
    <x v="0"/>
    <n v="51.98"/>
    <x v="10"/>
    <x v="0"/>
    <x v="0"/>
    <x v="2"/>
  </r>
  <r>
    <n v="1072"/>
    <x v="21"/>
    <s v="C012"/>
    <x v="2"/>
    <x v="4"/>
    <n v="15.5"/>
    <s v="R03"/>
    <x v="1"/>
    <x v="0"/>
    <n v="62"/>
    <x v="11"/>
    <x v="2"/>
    <x v="1"/>
    <x v="2"/>
  </r>
  <r>
    <n v="1073"/>
    <x v="22"/>
    <s v="C013"/>
    <x v="1"/>
    <x v="1"/>
    <n v="199.99"/>
    <s v="R02"/>
    <x v="1"/>
    <x v="0"/>
    <n v="199.99"/>
    <x v="12"/>
    <x v="1"/>
    <x v="0"/>
    <x v="1"/>
  </r>
  <r>
    <n v="1074"/>
    <x v="23"/>
    <s v="C014"/>
    <x v="3"/>
    <x v="0"/>
    <n v="89.99"/>
    <s v="R02"/>
    <x v="1"/>
    <x v="0"/>
    <n v="179.98"/>
    <x v="13"/>
    <x v="3"/>
    <x v="2"/>
    <x v="1"/>
  </r>
  <r>
    <n v="1075"/>
    <x v="24"/>
    <s v="C015"/>
    <x v="4"/>
    <x v="3"/>
    <n v="9.99"/>
    <s v="R01"/>
    <x v="1"/>
    <x v="0"/>
    <n v="29.97"/>
    <x v="14"/>
    <x v="4"/>
    <x v="3"/>
    <x v="0"/>
  </r>
  <r>
    <n v="1076"/>
    <x v="25"/>
    <s v="C016"/>
    <x v="5"/>
    <x v="0"/>
    <n v="49.99"/>
    <s v="R01"/>
    <x v="1"/>
    <x v="0"/>
    <n v="99.98"/>
    <x v="15"/>
    <x v="5"/>
    <x v="2"/>
    <x v="0"/>
  </r>
  <r>
    <n v="1077"/>
    <x v="26"/>
    <s v="C017"/>
    <x v="19"/>
    <x v="1"/>
    <n v="45.99"/>
    <s v="R03"/>
    <x v="1"/>
    <x v="0"/>
    <n v="45.99"/>
    <x v="16"/>
    <x v="19"/>
    <x v="0"/>
    <x v="2"/>
  </r>
  <r>
    <n v="1078"/>
    <x v="27"/>
    <s v="C018"/>
    <x v="6"/>
    <x v="1"/>
    <n v="149.99"/>
    <s v="R02"/>
    <x v="1"/>
    <x v="0"/>
    <n v="149.99"/>
    <x v="17"/>
    <x v="6"/>
    <x v="0"/>
    <x v="1"/>
  </r>
  <r>
    <n v="1079"/>
    <x v="28"/>
    <s v="C019"/>
    <x v="7"/>
    <x v="4"/>
    <n v="12.99"/>
    <s v="R02"/>
    <x v="1"/>
    <x v="0"/>
    <n v="51.96"/>
    <x v="18"/>
    <x v="7"/>
    <x v="3"/>
    <x v="1"/>
  </r>
  <r>
    <n v="1080"/>
    <x v="29"/>
    <s v="C017"/>
    <x v="3"/>
    <x v="6"/>
    <n v="89.99"/>
    <s v="R03"/>
    <x v="1"/>
    <x v="0"/>
    <n v="719.92"/>
    <x v="16"/>
    <x v="3"/>
    <x v="2"/>
    <x v="2"/>
  </r>
  <r>
    <n v="1081"/>
    <x v="30"/>
    <s v="C010"/>
    <x v="4"/>
    <x v="4"/>
    <n v="9.99"/>
    <s v="R03"/>
    <x v="1"/>
    <x v="0"/>
    <n v="39.96"/>
    <x v="9"/>
    <x v="4"/>
    <x v="3"/>
    <x v="2"/>
  </r>
  <r>
    <n v="1082"/>
    <x v="31"/>
    <s v="C022"/>
    <x v="7"/>
    <x v="2"/>
    <n v="12.99"/>
    <s v="R03"/>
    <x v="1"/>
    <x v="0"/>
    <n v="64.95"/>
    <x v="21"/>
    <x v="7"/>
    <x v="3"/>
    <x v="2"/>
  </r>
  <r>
    <n v="1083"/>
    <x v="32"/>
    <s v="C018"/>
    <x v="6"/>
    <x v="3"/>
    <n v="149.99"/>
    <s v="R02"/>
    <x v="1"/>
    <x v="0"/>
    <n v="449.97"/>
    <x v="17"/>
    <x v="6"/>
    <x v="0"/>
    <x v="1"/>
  </r>
  <r>
    <n v="1084"/>
    <x v="33"/>
    <s v="C007"/>
    <x v="6"/>
    <x v="4"/>
    <n v="149.99"/>
    <s v="R05"/>
    <x v="1"/>
    <x v="0"/>
    <n v="599.96"/>
    <x v="6"/>
    <x v="6"/>
    <x v="0"/>
    <x v="4"/>
  </r>
  <r>
    <n v="1085"/>
    <x v="36"/>
    <s v="C006"/>
    <x v="12"/>
    <x v="7"/>
    <n v="19.989999999999998"/>
    <s v="R03"/>
    <x v="1"/>
    <x v="0"/>
    <n v="199.89999999999998"/>
    <x v="5"/>
    <x v="12"/>
    <x v="5"/>
    <x v="2"/>
  </r>
  <r>
    <n v="1086"/>
    <x v="37"/>
    <s v="C011"/>
    <x v="3"/>
    <x v="1"/>
    <n v="89.99"/>
    <s v="R03"/>
    <x v="1"/>
    <x v="0"/>
    <n v="89.99"/>
    <x v="10"/>
    <x v="3"/>
    <x v="2"/>
    <x v="2"/>
  </r>
  <r>
    <n v="1087"/>
    <x v="38"/>
    <s v="C009"/>
    <x v="13"/>
    <x v="1"/>
    <n v="79.989999999999995"/>
    <s v="R04"/>
    <x v="1"/>
    <x v="0"/>
    <n v="79.989999999999995"/>
    <x v="8"/>
    <x v="13"/>
    <x v="0"/>
    <x v="3"/>
  </r>
  <r>
    <n v="1088"/>
    <x v="39"/>
    <s v="C027"/>
    <x v="2"/>
    <x v="4"/>
    <n v="15.5"/>
    <s v="R04"/>
    <x v="1"/>
    <x v="0"/>
    <n v="62"/>
    <x v="26"/>
    <x v="2"/>
    <x v="1"/>
    <x v="3"/>
  </r>
  <r>
    <n v="1089"/>
    <x v="70"/>
    <s v="C004"/>
    <x v="16"/>
    <x v="8"/>
    <n v="29.99"/>
    <s v="R04"/>
    <x v="1"/>
    <x v="0"/>
    <n v="209.92999999999998"/>
    <x v="3"/>
    <x v="16"/>
    <x v="4"/>
    <x v="3"/>
  </r>
  <r>
    <n v="1090"/>
    <x v="71"/>
    <s v="C013"/>
    <x v="0"/>
    <x v="9"/>
    <n v="25.99"/>
    <s v="R02"/>
    <x v="1"/>
    <x v="0"/>
    <n v="233.91"/>
    <x v="12"/>
    <x v="0"/>
    <x v="0"/>
    <x v="1"/>
  </r>
  <r>
    <n v="1091"/>
    <x v="72"/>
    <s v="C016"/>
    <x v="0"/>
    <x v="4"/>
    <n v="25.99"/>
    <s v="R01"/>
    <x v="1"/>
    <x v="0"/>
    <n v="103.96"/>
    <x v="15"/>
    <x v="0"/>
    <x v="0"/>
    <x v="0"/>
  </r>
  <r>
    <n v="1092"/>
    <x v="73"/>
    <s v="C025"/>
    <x v="7"/>
    <x v="4"/>
    <n v="12.99"/>
    <s v="R05"/>
    <x v="1"/>
    <x v="0"/>
    <n v="51.96"/>
    <x v="24"/>
    <x v="7"/>
    <x v="3"/>
    <x v="4"/>
  </r>
  <r>
    <n v="1093"/>
    <x v="74"/>
    <s v="C003"/>
    <x v="2"/>
    <x v="7"/>
    <n v="15.5"/>
    <s v="R03"/>
    <x v="1"/>
    <x v="0"/>
    <n v="155"/>
    <x v="2"/>
    <x v="2"/>
    <x v="1"/>
    <x v="2"/>
  </r>
  <r>
    <n v="1094"/>
    <x v="75"/>
    <s v="C023"/>
    <x v="4"/>
    <x v="8"/>
    <n v="9.99"/>
    <s v="R03"/>
    <x v="1"/>
    <x v="0"/>
    <n v="69.930000000000007"/>
    <x v="22"/>
    <x v="4"/>
    <x v="3"/>
    <x v="2"/>
  </r>
  <r>
    <n v="1095"/>
    <x v="42"/>
    <s v="C010"/>
    <x v="7"/>
    <x v="1"/>
    <n v="12.99"/>
    <s v="R03"/>
    <x v="2"/>
    <x v="0"/>
    <n v="12.99"/>
    <x v="9"/>
    <x v="7"/>
    <x v="3"/>
    <x v="2"/>
  </r>
  <r>
    <n v="1096"/>
    <x v="43"/>
    <s v="C016"/>
    <x v="1"/>
    <x v="0"/>
    <n v="199.99"/>
    <s v="R01"/>
    <x v="2"/>
    <x v="0"/>
    <n v="399.98"/>
    <x v="15"/>
    <x v="1"/>
    <x v="0"/>
    <x v="0"/>
  </r>
  <r>
    <n v="1097"/>
    <x v="44"/>
    <s v="C005"/>
    <x v="4"/>
    <x v="0"/>
    <n v="9.99"/>
    <s v="R02"/>
    <x v="2"/>
    <x v="0"/>
    <n v="19.98"/>
    <x v="4"/>
    <x v="4"/>
    <x v="3"/>
    <x v="1"/>
  </r>
  <r>
    <n v="1098"/>
    <x v="45"/>
    <s v="C011"/>
    <x v="8"/>
    <x v="9"/>
    <n v="39.99"/>
    <s v="R03"/>
    <x v="2"/>
    <x v="0"/>
    <n v="359.91"/>
    <x v="10"/>
    <x v="8"/>
    <x v="4"/>
    <x v="2"/>
  </r>
  <r>
    <n v="1099"/>
    <x v="46"/>
    <s v="C012"/>
    <x v="15"/>
    <x v="4"/>
    <n v="3.99"/>
    <s v="R03"/>
    <x v="2"/>
    <x v="0"/>
    <n v="15.96"/>
    <x v="11"/>
    <x v="15"/>
    <x v="1"/>
    <x v="2"/>
  </r>
  <r>
    <n v="1100"/>
    <x v="49"/>
    <s v="C015"/>
    <x v="5"/>
    <x v="4"/>
    <n v="49.99"/>
    <s v="R01"/>
    <x v="2"/>
    <x v="0"/>
    <n v="199.96"/>
    <x v="14"/>
    <x v="5"/>
    <x v="2"/>
    <x v="0"/>
  </r>
  <r>
    <n v="1101"/>
    <x v="50"/>
    <s v="C002"/>
    <x v="11"/>
    <x v="3"/>
    <n v="129.99"/>
    <s v="R02"/>
    <x v="2"/>
    <x v="0"/>
    <n v="389.97"/>
    <x v="1"/>
    <x v="11"/>
    <x v="0"/>
    <x v="1"/>
  </r>
  <r>
    <n v="1102"/>
    <x v="51"/>
    <s v="C030"/>
    <x v="8"/>
    <x v="4"/>
    <n v="39.99"/>
    <s v="R01"/>
    <x v="2"/>
    <x v="0"/>
    <n v="159.96"/>
    <x v="29"/>
    <x v="8"/>
    <x v="4"/>
    <x v="0"/>
  </r>
  <r>
    <n v="1103"/>
    <x v="52"/>
    <s v="C005"/>
    <x v="4"/>
    <x v="8"/>
    <n v="9.99"/>
    <s v="R02"/>
    <x v="2"/>
    <x v="0"/>
    <n v="69.930000000000007"/>
    <x v="4"/>
    <x v="4"/>
    <x v="3"/>
    <x v="1"/>
  </r>
  <r>
    <n v="1104"/>
    <x v="53"/>
    <s v="C002"/>
    <x v="2"/>
    <x v="8"/>
    <n v="15.5"/>
    <s v="R02"/>
    <x v="2"/>
    <x v="0"/>
    <n v="108.5"/>
    <x v="1"/>
    <x v="2"/>
    <x v="1"/>
    <x v="1"/>
  </r>
  <r>
    <n v="1105"/>
    <x v="56"/>
    <s v="C023"/>
    <x v="7"/>
    <x v="9"/>
    <n v="12.99"/>
    <s v="R03"/>
    <x v="2"/>
    <x v="0"/>
    <n v="116.91"/>
    <x v="22"/>
    <x v="7"/>
    <x v="3"/>
    <x v="2"/>
  </r>
  <r>
    <n v="1106"/>
    <x v="57"/>
    <s v="C009"/>
    <x v="10"/>
    <x v="2"/>
    <n v="299.99"/>
    <s v="R04"/>
    <x v="2"/>
    <x v="0"/>
    <n v="1499.95"/>
    <x v="8"/>
    <x v="10"/>
    <x v="0"/>
    <x v="3"/>
  </r>
  <r>
    <n v="1107"/>
    <x v="58"/>
    <s v="C023"/>
    <x v="18"/>
    <x v="0"/>
    <n v="14.99"/>
    <s v="R03"/>
    <x v="2"/>
    <x v="0"/>
    <n v="29.98"/>
    <x v="22"/>
    <x v="18"/>
    <x v="0"/>
    <x v="2"/>
  </r>
  <r>
    <n v="1108"/>
    <x v="59"/>
    <s v="C009"/>
    <x v="16"/>
    <x v="4"/>
    <n v="29.99"/>
    <s v="R04"/>
    <x v="2"/>
    <x v="0"/>
    <n v="119.96"/>
    <x v="8"/>
    <x v="16"/>
    <x v="4"/>
    <x v="3"/>
  </r>
  <r>
    <n v="1109"/>
    <x v="60"/>
    <s v="C002"/>
    <x v="3"/>
    <x v="8"/>
    <n v="89.99"/>
    <s v="R02"/>
    <x v="2"/>
    <x v="0"/>
    <n v="629.92999999999995"/>
    <x v="1"/>
    <x v="3"/>
    <x v="2"/>
    <x v="1"/>
  </r>
  <r>
    <n v="1110"/>
    <x v="63"/>
    <s v="C020"/>
    <x v="19"/>
    <x v="1"/>
    <n v="45.99"/>
    <s v="R04"/>
    <x v="2"/>
    <x v="0"/>
    <n v="45.99"/>
    <x v="19"/>
    <x v="19"/>
    <x v="0"/>
    <x v="3"/>
  </r>
  <r>
    <n v="1111"/>
    <x v="64"/>
    <s v="C020"/>
    <x v="0"/>
    <x v="1"/>
    <n v="25.99"/>
    <s v="R04"/>
    <x v="2"/>
    <x v="0"/>
    <n v="25.99"/>
    <x v="19"/>
    <x v="0"/>
    <x v="0"/>
    <x v="3"/>
  </r>
  <r>
    <n v="1112"/>
    <x v="65"/>
    <s v="C029"/>
    <x v="16"/>
    <x v="6"/>
    <n v="29.99"/>
    <s v="R04"/>
    <x v="2"/>
    <x v="0"/>
    <n v="239.92"/>
    <x v="28"/>
    <x v="16"/>
    <x v="4"/>
    <x v="3"/>
  </r>
  <r>
    <n v="1113"/>
    <x v="66"/>
    <s v="C024"/>
    <x v="5"/>
    <x v="4"/>
    <n v="49.99"/>
    <s v="R01"/>
    <x v="2"/>
    <x v="0"/>
    <n v="199.96"/>
    <x v="23"/>
    <x v="5"/>
    <x v="2"/>
    <x v="0"/>
  </r>
  <r>
    <n v="1114"/>
    <x v="67"/>
    <s v="C015"/>
    <x v="16"/>
    <x v="4"/>
    <n v="29.99"/>
    <s v="R01"/>
    <x v="2"/>
    <x v="0"/>
    <n v="119.96"/>
    <x v="14"/>
    <x v="16"/>
    <x v="4"/>
    <x v="0"/>
  </r>
  <r>
    <n v="1115"/>
    <x v="76"/>
    <s v="C029"/>
    <x v="18"/>
    <x v="9"/>
    <n v="14.99"/>
    <s v="R04"/>
    <x v="2"/>
    <x v="0"/>
    <n v="134.91"/>
    <x v="28"/>
    <x v="18"/>
    <x v="0"/>
    <x v="3"/>
  </r>
  <r>
    <n v="1116"/>
    <x v="77"/>
    <s v="C020"/>
    <x v="14"/>
    <x v="3"/>
    <n v="399.99"/>
    <s v="R04"/>
    <x v="3"/>
    <x v="0"/>
    <n v="1199.97"/>
    <x v="19"/>
    <x v="14"/>
    <x v="2"/>
    <x v="3"/>
  </r>
  <r>
    <n v="1117"/>
    <x v="78"/>
    <s v="C010"/>
    <x v="13"/>
    <x v="3"/>
    <n v="79.989999999999995"/>
    <s v="R03"/>
    <x v="3"/>
    <x v="0"/>
    <n v="239.96999999999997"/>
    <x v="9"/>
    <x v="13"/>
    <x v="0"/>
    <x v="2"/>
  </r>
  <r>
    <n v="1118"/>
    <x v="79"/>
    <s v="C009"/>
    <x v="4"/>
    <x v="2"/>
    <n v="9.99"/>
    <s v="R04"/>
    <x v="3"/>
    <x v="0"/>
    <n v="49.95"/>
    <x v="8"/>
    <x v="4"/>
    <x v="3"/>
    <x v="3"/>
  </r>
  <r>
    <n v="1119"/>
    <x v="80"/>
    <s v="C015"/>
    <x v="15"/>
    <x v="2"/>
    <n v="3.99"/>
    <s v="R01"/>
    <x v="3"/>
    <x v="0"/>
    <n v="19.950000000000003"/>
    <x v="14"/>
    <x v="15"/>
    <x v="1"/>
    <x v="0"/>
  </r>
  <r>
    <n v="1120"/>
    <x v="81"/>
    <s v="C026"/>
    <x v="15"/>
    <x v="1"/>
    <n v="3.99"/>
    <s v="R05"/>
    <x v="3"/>
    <x v="0"/>
    <n v="3.99"/>
    <x v="25"/>
    <x v="15"/>
    <x v="1"/>
    <x v="4"/>
  </r>
  <r>
    <n v="1121"/>
    <x v="82"/>
    <s v="C019"/>
    <x v="16"/>
    <x v="0"/>
    <n v="29.99"/>
    <s v="R02"/>
    <x v="3"/>
    <x v="0"/>
    <n v="59.98"/>
    <x v="18"/>
    <x v="16"/>
    <x v="4"/>
    <x v="1"/>
  </r>
  <r>
    <n v="1122"/>
    <x v="83"/>
    <s v="C024"/>
    <x v="18"/>
    <x v="3"/>
    <n v="14.99"/>
    <s v="R01"/>
    <x v="3"/>
    <x v="0"/>
    <n v="44.97"/>
    <x v="23"/>
    <x v="18"/>
    <x v="0"/>
    <x v="0"/>
  </r>
  <r>
    <n v="1123"/>
    <x v="84"/>
    <s v="C012"/>
    <x v="14"/>
    <x v="0"/>
    <n v="399.99"/>
    <s v="R03"/>
    <x v="3"/>
    <x v="0"/>
    <n v="799.98"/>
    <x v="11"/>
    <x v="14"/>
    <x v="2"/>
    <x v="2"/>
  </r>
  <r>
    <n v="1124"/>
    <x v="85"/>
    <s v="C023"/>
    <x v="16"/>
    <x v="5"/>
    <n v="29.99"/>
    <s v="R03"/>
    <x v="3"/>
    <x v="0"/>
    <n v="179.94"/>
    <x v="22"/>
    <x v="16"/>
    <x v="4"/>
    <x v="2"/>
  </r>
  <r>
    <n v="1125"/>
    <x v="86"/>
    <s v="C011"/>
    <x v="18"/>
    <x v="3"/>
    <n v="14.99"/>
    <s v="R03"/>
    <x v="3"/>
    <x v="0"/>
    <n v="44.97"/>
    <x v="10"/>
    <x v="18"/>
    <x v="0"/>
    <x v="2"/>
  </r>
  <r>
    <n v="1126"/>
    <x v="87"/>
    <s v="C029"/>
    <x v="1"/>
    <x v="2"/>
    <n v="199.99"/>
    <s v="R04"/>
    <x v="3"/>
    <x v="0"/>
    <n v="999.95"/>
    <x v="28"/>
    <x v="1"/>
    <x v="0"/>
    <x v="3"/>
  </r>
  <r>
    <n v="1127"/>
    <x v="88"/>
    <s v="C028"/>
    <x v="18"/>
    <x v="5"/>
    <n v="14.99"/>
    <s v="R02"/>
    <x v="3"/>
    <x v="0"/>
    <n v="89.94"/>
    <x v="27"/>
    <x v="18"/>
    <x v="0"/>
    <x v="1"/>
  </r>
  <r>
    <n v="1128"/>
    <x v="89"/>
    <s v="C015"/>
    <x v="3"/>
    <x v="5"/>
    <n v="89.99"/>
    <s v="R01"/>
    <x v="3"/>
    <x v="0"/>
    <n v="539.93999999999994"/>
    <x v="14"/>
    <x v="3"/>
    <x v="2"/>
    <x v="0"/>
  </r>
  <r>
    <n v="1129"/>
    <x v="90"/>
    <s v="C019"/>
    <x v="12"/>
    <x v="1"/>
    <n v="19.989999999999998"/>
    <s v="R02"/>
    <x v="3"/>
    <x v="0"/>
    <n v="19.989999999999998"/>
    <x v="18"/>
    <x v="12"/>
    <x v="5"/>
    <x v="1"/>
  </r>
  <r>
    <n v="1130"/>
    <x v="91"/>
    <s v="C006"/>
    <x v="15"/>
    <x v="5"/>
    <n v="3.99"/>
    <s v="R03"/>
    <x v="3"/>
    <x v="0"/>
    <n v="23.94"/>
    <x v="5"/>
    <x v="15"/>
    <x v="1"/>
    <x v="2"/>
  </r>
  <r>
    <n v="1131"/>
    <x v="92"/>
    <s v="C017"/>
    <x v="16"/>
    <x v="0"/>
    <n v="29.99"/>
    <s v="R03"/>
    <x v="3"/>
    <x v="0"/>
    <n v="59.98"/>
    <x v="16"/>
    <x v="16"/>
    <x v="4"/>
    <x v="2"/>
  </r>
  <r>
    <n v="1132"/>
    <x v="93"/>
    <s v="C015"/>
    <x v="7"/>
    <x v="5"/>
    <n v="12.99"/>
    <s v="R01"/>
    <x v="3"/>
    <x v="0"/>
    <n v="77.94"/>
    <x v="14"/>
    <x v="7"/>
    <x v="3"/>
    <x v="0"/>
  </r>
  <r>
    <n v="1133"/>
    <x v="94"/>
    <s v="C011"/>
    <x v="15"/>
    <x v="2"/>
    <n v="3.99"/>
    <s v="R03"/>
    <x v="3"/>
    <x v="0"/>
    <n v="19.950000000000003"/>
    <x v="10"/>
    <x v="15"/>
    <x v="1"/>
    <x v="2"/>
  </r>
  <r>
    <n v="1134"/>
    <x v="95"/>
    <s v="C003"/>
    <x v="19"/>
    <x v="2"/>
    <n v="45.99"/>
    <s v="R03"/>
    <x v="3"/>
    <x v="0"/>
    <n v="229.95000000000002"/>
    <x v="2"/>
    <x v="19"/>
    <x v="0"/>
    <x v="2"/>
  </r>
  <r>
    <n v="1135"/>
    <x v="96"/>
    <s v="C001"/>
    <x v="13"/>
    <x v="0"/>
    <n v="79.989999999999995"/>
    <s v="R01"/>
    <x v="3"/>
    <x v="0"/>
    <n v="159.97999999999999"/>
    <x v="0"/>
    <x v="13"/>
    <x v="0"/>
    <x v="0"/>
  </r>
  <r>
    <n v="1136"/>
    <x v="97"/>
    <s v="C027"/>
    <x v="3"/>
    <x v="6"/>
    <n v="89.99"/>
    <s v="R04"/>
    <x v="3"/>
    <x v="0"/>
    <n v="719.92"/>
    <x v="26"/>
    <x v="3"/>
    <x v="2"/>
    <x v="3"/>
  </r>
  <r>
    <n v="1137"/>
    <x v="98"/>
    <s v="C030"/>
    <x v="2"/>
    <x v="0"/>
    <n v="15.5"/>
    <s v="R01"/>
    <x v="3"/>
    <x v="0"/>
    <n v="31"/>
    <x v="29"/>
    <x v="2"/>
    <x v="1"/>
    <x v="0"/>
  </r>
  <r>
    <n v="1138"/>
    <x v="99"/>
    <s v="C029"/>
    <x v="16"/>
    <x v="2"/>
    <n v="29.99"/>
    <s v="R04"/>
    <x v="4"/>
    <x v="0"/>
    <n v="149.94999999999999"/>
    <x v="28"/>
    <x v="16"/>
    <x v="4"/>
    <x v="3"/>
  </r>
  <r>
    <n v="1139"/>
    <x v="100"/>
    <s v="C008"/>
    <x v="19"/>
    <x v="5"/>
    <n v="45.99"/>
    <s v="R01"/>
    <x v="4"/>
    <x v="0"/>
    <n v="275.94"/>
    <x v="7"/>
    <x v="19"/>
    <x v="0"/>
    <x v="0"/>
  </r>
  <r>
    <n v="1140"/>
    <x v="101"/>
    <s v="C020"/>
    <x v="16"/>
    <x v="0"/>
    <n v="29.99"/>
    <s v="R04"/>
    <x v="4"/>
    <x v="0"/>
    <n v="59.98"/>
    <x v="19"/>
    <x v="16"/>
    <x v="4"/>
    <x v="3"/>
  </r>
  <r>
    <n v="1141"/>
    <x v="102"/>
    <s v="C004"/>
    <x v="15"/>
    <x v="4"/>
    <n v="3.99"/>
    <s v="R04"/>
    <x v="4"/>
    <x v="0"/>
    <n v="15.96"/>
    <x v="3"/>
    <x v="15"/>
    <x v="1"/>
    <x v="3"/>
  </r>
  <r>
    <n v="1142"/>
    <x v="103"/>
    <s v="C006"/>
    <x v="10"/>
    <x v="3"/>
    <n v="299.99"/>
    <s v="R03"/>
    <x v="4"/>
    <x v="0"/>
    <n v="899.97"/>
    <x v="5"/>
    <x v="10"/>
    <x v="0"/>
    <x v="2"/>
  </r>
  <r>
    <n v="1143"/>
    <x v="104"/>
    <s v="C024"/>
    <x v="3"/>
    <x v="3"/>
    <n v="89.99"/>
    <s v="R01"/>
    <x v="4"/>
    <x v="0"/>
    <n v="269.96999999999997"/>
    <x v="23"/>
    <x v="3"/>
    <x v="2"/>
    <x v="0"/>
  </r>
  <r>
    <n v="1144"/>
    <x v="105"/>
    <s v="C013"/>
    <x v="17"/>
    <x v="9"/>
    <n v="59.99"/>
    <s v="R02"/>
    <x v="4"/>
    <x v="0"/>
    <n v="539.91"/>
    <x v="12"/>
    <x v="17"/>
    <x v="0"/>
    <x v="1"/>
  </r>
  <r>
    <n v="1145"/>
    <x v="106"/>
    <s v="C018"/>
    <x v="8"/>
    <x v="9"/>
    <n v="39.99"/>
    <s v="R02"/>
    <x v="4"/>
    <x v="0"/>
    <n v="359.91"/>
    <x v="17"/>
    <x v="8"/>
    <x v="4"/>
    <x v="1"/>
  </r>
  <r>
    <n v="1146"/>
    <x v="107"/>
    <s v="C016"/>
    <x v="8"/>
    <x v="7"/>
    <n v="39.99"/>
    <s v="R01"/>
    <x v="4"/>
    <x v="0"/>
    <n v="399.90000000000003"/>
    <x v="15"/>
    <x v="8"/>
    <x v="4"/>
    <x v="0"/>
  </r>
  <r>
    <n v="1147"/>
    <x v="108"/>
    <s v="C017"/>
    <x v="1"/>
    <x v="4"/>
    <n v="199.99"/>
    <s v="R03"/>
    <x v="4"/>
    <x v="0"/>
    <n v="799.96"/>
    <x v="16"/>
    <x v="1"/>
    <x v="0"/>
    <x v="2"/>
  </r>
  <r>
    <n v="1148"/>
    <x v="109"/>
    <s v="C023"/>
    <x v="5"/>
    <x v="9"/>
    <n v="49.99"/>
    <s v="R03"/>
    <x v="4"/>
    <x v="0"/>
    <n v="449.91"/>
    <x v="22"/>
    <x v="5"/>
    <x v="2"/>
    <x v="2"/>
  </r>
  <r>
    <n v="1149"/>
    <x v="110"/>
    <s v="C013"/>
    <x v="4"/>
    <x v="9"/>
    <n v="9.99"/>
    <s v="R02"/>
    <x v="4"/>
    <x v="0"/>
    <n v="89.91"/>
    <x v="12"/>
    <x v="4"/>
    <x v="3"/>
    <x v="1"/>
  </r>
  <r>
    <n v="1150"/>
    <x v="111"/>
    <s v="C007"/>
    <x v="10"/>
    <x v="1"/>
    <n v="299.99"/>
    <s v="R05"/>
    <x v="4"/>
    <x v="0"/>
    <n v="299.99"/>
    <x v="6"/>
    <x v="10"/>
    <x v="0"/>
    <x v="4"/>
  </r>
  <r>
    <n v="1151"/>
    <x v="112"/>
    <s v="C001"/>
    <x v="10"/>
    <x v="3"/>
    <n v="299.99"/>
    <s v="R01"/>
    <x v="4"/>
    <x v="0"/>
    <n v="899.97"/>
    <x v="0"/>
    <x v="10"/>
    <x v="0"/>
    <x v="0"/>
  </r>
  <r>
    <n v="1152"/>
    <x v="113"/>
    <s v="C010"/>
    <x v="11"/>
    <x v="4"/>
    <n v="129.99"/>
    <s v="R03"/>
    <x v="4"/>
    <x v="0"/>
    <n v="519.96"/>
    <x v="9"/>
    <x v="11"/>
    <x v="0"/>
    <x v="2"/>
  </r>
  <r>
    <n v="1153"/>
    <x v="114"/>
    <s v="C010"/>
    <x v="2"/>
    <x v="8"/>
    <n v="15.5"/>
    <s v="R03"/>
    <x v="4"/>
    <x v="0"/>
    <n v="108.5"/>
    <x v="9"/>
    <x v="2"/>
    <x v="1"/>
    <x v="2"/>
  </r>
  <r>
    <n v="1154"/>
    <x v="115"/>
    <s v="C019"/>
    <x v="13"/>
    <x v="7"/>
    <n v="79.989999999999995"/>
    <s v="R02"/>
    <x v="4"/>
    <x v="0"/>
    <n v="799.9"/>
    <x v="18"/>
    <x v="13"/>
    <x v="0"/>
    <x v="1"/>
  </r>
  <r>
    <n v="1155"/>
    <x v="116"/>
    <s v="C016"/>
    <x v="7"/>
    <x v="2"/>
    <n v="12.99"/>
    <s v="R01"/>
    <x v="4"/>
    <x v="0"/>
    <n v="64.95"/>
    <x v="15"/>
    <x v="7"/>
    <x v="3"/>
    <x v="0"/>
  </r>
  <r>
    <n v="1156"/>
    <x v="117"/>
    <s v="C010"/>
    <x v="19"/>
    <x v="4"/>
    <n v="45.99"/>
    <s v="R03"/>
    <x v="4"/>
    <x v="0"/>
    <n v="183.96"/>
    <x v="9"/>
    <x v="19"/>
    <x v="0"/>
    <x v="2"/>
  </r>
  <r>
    <n v="1157"/>
    <x v="118"/>
    <s v="C018"/>
    <x v="14"/>
    <x v="6"/>
    <n v="399.99"/>
    <s v="R02"/>
    <x v="4"/>
    <x v="0"/>
    <n v="3199.92"/>
    <x v="17"/>
    <x v="14"/>
    <x v="2"/>
    <x v="1"/>
  </r>
  <r>
    <n v="1158"/>
    <x v="119"/>
    <s v="C022"/>
    <x v="8"/>
    <x v="1"/>
    <n v="39.99"/>
    <s v="R03"/>
    <x v="4"/>
    <x v="0"/>
    <n v="39.99"/>
    <x v="21"/>
    <x v="8"/>
    <x v="4"/>
    <x v="2"/>
  </r>
  <r>
    <n v="1159"/>
    <x v="120"/>
    <s v="C029"/>
    <x v="13"/>
    <x v="5"/>
    <n v="79.989999999999995"/>
    <s v="R04"/>
    <x v="4"/>
    <x v="0"/>
    <n v="479.93999999999994"/>
    <x v="28"/>
    <x v="13"/>
    <x v="0"/>
    <x v="3"/>
  </r>
  <r>
    <n v="1160"/>
    <x v="121"/>
    <s v="C023"/>
    <x v="8"/>
    <x v="5"/>
    <n v="39.99"/>
    <s v="R03"/>
    <x v="5"/>
    <x v="0"/>
    <n v="239.94"/>
    <x v="22"/>
    <x v="8"/>
    <x v="4"/>
    <x v="2"/>
  </r>
  <r>
    <n v="1161"/>
    <x v="122"/>
    <s v="C021"/>
    <x v="18"/>
    <x v="1"/>
    <n v="14.99"/>
    <s v="R04"/>
    <x v="5"/>
    <x v="0"/>
    <n v="14.99"/>
    <x v="20"/>
    <x v="18"/>
    <x v="0"/>
    <x v="3"/>
  </r>
  <r>
    <n v="1162"/>
    <x v="123"/>
    <s v="C023"/>
    <x v="15"/>
    <x v="7"/>
    <n v="3.99"/>
    <s v="R03"/>
    <x v="5"/>
    <x v="0"/>
    <n v="39.900000000000006"/>
    <x v="22"/>
    <x v="15"/>
    <x v="1"/>
    <x v="2"/>
  </r>
  <r>
    <n v="1163"/>
    <x v="124"/>
    <s v="C028"/>
    <x v="0"/>
    <x v="0"/>
    <n v="25.99"/>
    <s v="R02"/>
    <x v="5"/>
    <x v="0"/>
    <n v="51.98"/>
    <x v="27"/>
    <x v="0"/>
    <x v="0"/>
    <x v="1"/>
  </r>
  <r>
    <n v="1164"/>
    <x v="125"/>
    <s v="C024"/>
    <x v="7"/>
    <x v="9"/>
    <n v="12.99"/>
    <s v="R01"/>
    <x v="5"/>
    <x v="0"/>
    <n v="116.91"/>
    <x v="23"/>
    <x v="7"/>
    <x v="3"/>
    <x v="0"/>
  </r>
  <r>
    <n v="1165"/>
    <x v="126"/>
    <s v="C021"/>
    <x v="19"/>
    <x v="2"/>
    <n v="45.99"/>
    <s v="R04"/>
    <x v="5"/>
    <x v="0"/>
    <n v="229.95000000000002"/>
    <x v="20"/>
    <x v="19"/>
    <x v="0"/>
    <x v="3"/>
  </r>
  <r>
    <n v="1166"/>
    <x v="127"/>
    <s v="C007"/>
    <x v="5"/>
    <x v="4"/>
    <n v="49.99"/>
    <s v="R05"/>
    <x v="5"/>
    <x v="0"/>
    <n v="199.96"/>
    <x v="6"/>
    <x v="5"/>
    <x v="2"/>
    <x v="4"/>
  </r>
  <r>
    <n v="1167"/>
    <x v="128"/>
    <s v="C009"/>
    <x v="7"/>
    <x v="9"/>
    <n v="12.99"/>
    <s v="R04"/>
    <x v="5"/>
    <x v="0"/>
    <n v="116.91"/>
    <x v="8"/>
    <x v="7"/>
    <x v="3"/>
    <x v="3"/>
  </r>
  <r>
    <n v="1168"/>
    <x v="129"/>
    <s v="C017"/>
    <x v="18"/>
    <x v="0"/>
    <n v="14.99"/>
    <s v="R03"/>
    <x v="5"/>
    <x v="0"/>
    <n v="29.98"/>
    <x v="16"/>
    <x v="18"/>
    <x v="0"/>
    <x v="2"/>
  </r>
  <r>
    <n v="1169"/>
    <x v="130"/>
    <s v="C001"/>
    <x v="9"/>
    <x v="2"/>
    <n v="5.99"/>
    <s v="R01"/>
    <x v="5"/>
    <x v="0"/>
    <n v="29.950000000000003"/>
    <x v="0"/>
    <x v="9"/>
    <x v="1"/>
    <x v="0"/>
  </r>
  <r>
    <n v="1170"/>
    <x v="131"/>
    <s v="C018"/>
    <x v="3"/>
    <x v="3"/>
    <n v="89.99"/>
    <s v="R02"/>
    <x v="5"/>
    <x v="0"/>
    <n v="269.96999999999997"/>
    <x v="17"/>
    <x v="3"/>
    <x v="2"/>
    <x v="1"/>
  </r>
  <r>
    <n v="1171"/>
    <x v="132"/>
    <s v="C019"/>
    <x v="10"/>
    <x v="4"/>
    <n v="299.99"/>
    <s v="R02"/>
    <x v="5"/>
    <x v="0"/>
    <n v="1199.96"/>
    <x v="18"/>
    <x v="10"/>
    <x v="0"/>
    <x v="1"/>
  </r>
  <r>
    <n v="1172"/>
    <x v="133"/>
    <s v="C021"/>
    <x v="19"/>
    <x v="9"/>
    <n v="45.99"/>
    <s v="R04"/>
    <x v="5"/>
    <x v="0"/>
    <n v="413.91"/>
    <x v="20"/>
    <x v="19"/>
    <x v="0"/>
    <x v="3"/>
  </r>
  <r>
    <n v="1173"/>
    <x v="134"/>
    <s v="C010"/>
    <x v="16"/>
    <x v="8"/>
    <n v="29.99"/>
    <s v="R03"/>
    <x v="5"/>
    <x v="0"/>
    <n v="209.92999999999998"/>
    <x v="9"/>
    <x v="16"/>
    <x v="4"/>
    <x v="2"/>
  </r>
  <r>
    <n v="1174"/>
    <x v="135"/>
    <s v="C001"/>
    <x v="10"/>
    <x v="1"/>
    <n v="299.99"/>
    <s v="R01"/>
    <x v="5"/>
    <x v="0"/>
    <n v="299.99"/>
    <x v="0"/>
    <x v="10"/>
    <x v="0"/>
    <x v="0"/>
  </r>
  <r>
    <n v="1175"/>
    <x v="136"/>
    <s v="C024"/>
    <x v="5"/>
    <x v="8"/>
    <n v="49.99"/>
    <s v="R01"/>
    <x v="5"/>
    <x v="0"/>
    <n v="349.93"/>
    <x v="23"/>
    <x v="5"/>
    <x v="2"/>
    <x v="0"/>
  </r>
  <r>
    <n v="1176"/>
    <x v="137"/>
    <s v="C018"/>
    <x v="9"/>
    <x v="5"/>
    <n v="5.99"/>
    <s v="R02"/>
    <x v="5"/>
    <x v="0"/>
    <n v="35.94"/>
    <x v="17"/>
    <x v="9"/>
    <x v="1"/>
    <x v="1"/>
  </r>
  <r>
    <n v="1177"/>
    <x v="138"/>
    <s v="C004"/>
    <x v="17"/>
    <x v="0"/>
    <n v="59.99"/>
    <s v="R04"/>
    <x v="5"/>
    <x v="0"/>
    <n v="119.98"/>
    <x v="3"/>
    <x v="17"/>
    <x v="0"/>
    <x v="3"/>
  </r>
  <r>
    <n v="1178"/>
    <x v="139"/>
    <s v="C014"/>
    <x v="10"/>
    <x v="9"/>
    <n v="299.99"/>
    <s v="R02"/>
    <x v="5"/>
    <x v="0"/>
    <n v="2699.91"/>
    <x v="13"/>
    <x v="10"/>
    <x v="0"/>
    <x v="1"/>
  </r>
  <r>
    <n v="1179"/>
    <x v="140"/>
    <s v="C015"/>
    <x v="16"/>
    <x v="9"/>
    <n v="29.99"/>
    <s v="R01"/>
    <x v="5"/>
    <x v="0"/>
    <n v="269.90999999999997"/>
    <x v="14"/>
    <x v="16"/>
    <x v="4"/>
    <x v="0"/>
  </r>
  <r>
    <n v="1180"/>
    <x v="141"/>
    <s v="C025"/>
    <x v="18"/>
    <x v="6"/>
    <n v="14.99"/>
    <s v="R05"/>
    <x v="5"/>
    <x v="0"/>
    <n v="119.92"/>
    <x v="24"/>
    <x v="18"/>
    <x v="0"/>
    <x v="4"/>
  </r>
  <r>
    <n v="1181"/>
    <x v="142"/>
    <s v="C025"/>
    <x v="8"/>
    <x v="1"/>
    <n v="39.99"/>
    <s v="R05"/>
    <x v="6"/>
    <x v="0"/>
    <n v="39.99"/>
    <x v="24"/>
    <x v="8"/>
    <x v="4"/>
    <x v="4"/>
  </r>
  <r>
    <n v="1182"/>
    <x v="143"/>
    <s v="C013"/>
    <x v="18"/>
    <x v="6"/>
    <n v="14.99"/>
    <s v="R02"/>
    <x v="6"/>
    <x v="0"/>
    <n v="119.92"/>
    <x v="12"/>
    <x v="18"/>
    <x v="0"/>
    <x v="1"/>
  </r>
  <r>
    <n v="1183"/>
    <x v="144"/>
    <s v="C015"/>
    <x v="1"/>
    <x v="9"/>
    <n v="199.99"/>
    <s v="R01"/>
    <x v="6"/>
    <x v="0"/>
    <n v="1799.91"/>
    <x v="14"/>
    <x v="1"/>
    <x v="0"/>
    <x v="0"/>
  </r>
  <r>
    <n v="1184"/>
    <x v="145"/>
    <s v="C004"/>
    <x v="11"/>
    <x v="7"/>
    <n v="129.99"/>
    <s v="R04"/>
    <x v="6"/>
    <x v="0"/>
    <n v="1299.9000000000001"/>
    <x v="3"/>
    <x v="11"/>
    <x v="0"/>
    <x v="3"/>
  </r>
  <r>
    <n v="1185"/>
    <x v="146"/>
    <s v="C021"/>
    <x v="19"/>
    <x v="6"/>
    <n v="45.99"/>
    <s v="R04"/>
    <x v="6"/>
    <x v="0"/>
    <n v="367.92"/>
    <x v="20"/>
    <x v="19"/>
    <x v="0"/>
    <x v="3"/>
  </r>
  <r>
    <n v="1186"/>
    <x v="147"/>
    <s v="C012"/>
    <x v="2"/>
    <x v="1"/>
    <n v="15.5"/>
    <s v="R03"/>
    <x v="6"/>
    <x v="0"/>
    <n v="15.5"/>
    <x v="11"/>
    <x v="2"/>
    <x v="1"/>
    <x v="2"/>
  </r>
  <r>
    <n v="1187"/>
    <x v="148"/>
    <s v="C010"/>
    <x v="10"/>
    <x v="4"/>
    <n v="299.99"/>
    <s v="R03"/>
    <x v="6"/>
    <x v="0"/>
    <n v="1199.96"/>
    <x v="9"/>
    <x v="10"/>
    <x v="0"/>
    <x v="2"/>
  </r>
  <r>
    <n v="1188"/>
    <x v="149"/>
    <s v="C028"/>
    <x v="2"/>
    <x v="3"/>
    <n v="15.5"/>
    <s v="R02"/>
    <x v="6"/>
    <x v="0"/>
    <n v="46.5"/>
    <x v="27"/>
    <x v="2"/>
    <x v="1"/>
    <x v="1"/>
  </r>
  <r>
    <n v="1189"/>
    <x v="150"/>
    <s v="C019"/>
    <x v="2"/>
    <x v="5"/>
    <n v="15.5"/>
    <s v="R02"/>
    <x v="6"/>
    <x v="0"/>
    <n v="93"/>
    <x v="18"/>
    <x v="2"/>
    <x v="1"/>
    <x v="1"/>
  </r>
  <r>
    <n v="1190"/>
    <x v="151"/>
    <s v="C006"/>
    <x v="10"/>
    <x v="1"/>
    <n v="299.99"/>
    <s v="R03"/>
    <x v="6"/>
    <x v="0"/>
    <n v="299.99"/>
    <x v="5"/>
    <x v="10"/>
    <x v="0"/>
    <x v="2"/>
  </r>
  <r>
    <n v="1191"/>
    <x v="152"/>
    <s v="C023"/>
    <x v="6"/>
    <x v="3"/>
    <n v="149.99"/>
    <s v="R03"/>
    <x v="6"/>
    <x v="0"/>
    <n v="449.97"/>
    <x v="22"/>
    <x v="6"/>
    <x v="0"/>
    <x v="2"/>
  </r>
  <r>
    <n v="1192"/>
    <x v="153"/>
    <s v="C012"/>
    <x v="3"/>
    <x v="5"/>
    <n v="89.99"/>
    <s v="R03"/>
    <x v="6"/>
    <x v="0"/>
    <n v="539.93999999999994"/>
    <x v="11"/>
    <x v="3"/>
    <x v="2"/>
    <x v="2"/>
  </r>
  <r>
    <n v="1193"/>
    <x v="154"/>
    <s v="C030"/>
    <x v="15"/>
    <x v="1"/>
    <n v="3.99"/>
    <s v="R01"/>
    <x v="6"/>
    <x v="0"/>
    <n v="3.99"/>
    <x v="29"/>
    <x v="15"/>
    <x v="1"/>
    <x v="0"/>
  </r>
  <r>
    <n v="1194"/>
    <x v="155"/>
    <s v="C003"/>
    <x v="17"/>
    <x v="6"/>
    <n v="59.99"/>
    <s v="R03"/>
    <x v="6"/>
    <x v="0"/>
    <n v="479.92"/>
    <x v="2"/>
    <x v="17"/>
    <x v="0"/>
    <x v="2"/>
  </r>
  <r>
    <n v="1195"/>
    <x v="156"/>
    <s v="C010"/>
    <x v="6"/>
    <x v="1"/>
    <n v="149.99"/>
    <s v="R03"/>
    <x v="6"/>
    <x v="0"/>
    <n v="149.99"/>
    <x v="9"/>
    <x v="6"/>
    <x v="0"/>
    <x v="2"/>
  </r>
  <r>
    <n v="1196"/>
    <x v="157"/>
    <s v="C020"/>
    <x v="17"/>
    <x v="2"/>
    <n v="59.99"/>
    <s v="R04"/>
    <x v="6"/>
    <x v="0"/>
    <n v="299.95"/>
    <x v="19"/>
    <x v="17"/>
    <x v="0"/>
    <x v="3"/>
  </r>
  <r>
    <n v="1197"/>
    <x v="158"/>
    <s v="C011"/>
    <x v="9"/>
    <x v="8"/>
    <n v="5.99"/>
    <s v="R03"/>
    <x v="6"/>
    <x v="0"/>
    <n v="41.93"/>
    <x v="10"/>
    <x v="9"/>
    <x v="1"/>
    <x v="2"/>
  </r>
  <r>
    <n v="1198"/>
    <x v="159"/>
    <s v="C025"/>
    <x v="9"/>
    <x v="2"/>
    <n v="5.99"/>
    <s v="R05"/>
    <x v="6"/>
    <x v="0"/>
    <n v="29.950000000000003"/>
    <x v="24"/>
    <x v="9"/>
    <x v="1"/>
    <x v="4"/>
  </r>
  <r>
    <n v="1199"/>
    <x v="160"/>
    <s v="C015"/>
    <x v="18"/>
    <x v="5"/>
    <n v="14.99"/>
    <s v="R01"/>
    <x v="6"/>
    <x v="0"/>
    <n v="89.94"/>
    <x v="14"/>
    <x v="18"/>
    <x v="0"/>
    <x v="0"/>
  </r>
  <r>
    <n v="1200"/>
    <x v="161"/>
    <s v="C011"/>
    <x v="16"/>
    <x v="9"/>
    <n v="29.99"/>
    <s v="R03"/>
    <x v="6"/>
    <x v="0"/>
    <n v="269.90999999999997"/>
    <x v="10"/>
    <x v="16"/>
    <x v="4"/>
    <x v="2"/>
  </r>
  <r>
    <n v="1201"/>
    <x v="162"/>
    <s v="C011"/>
    <x v="5"/>
    <x v="1"/>
    <n v="49.99"/>
    <s v="R03"/>
    <x v="6"/>
    <x v="0"/>
    <n v="49.99"/>
    <x v="10"/>
    <x v="5"/>
    <x v="2"/>
    <x v="2"/>
  </r>
  <r>
    <n v="1202"/>
    <x v="163"/>
    <s v="C010"/>
    <x v="3"/>
    <x v="3"/>
    <n v="89.99"/>
    <s v="R03"/>
    <x v="6"/>
    <x v="0"/>
    <n v="269.96999999999997"/>
    <x v="9"/>
    <x v="3"/>
    <x v="2"/>
    <x v="2"/>
  </r>
  <r>
    <n v="1203"/>
    <x v="164"/>
    <s v="C030"/>
    <x v="2"/>
    <x v="5"/>
    <n v="15.5"/>
    <s v="R01"/>
    <x v="6"/>
    <x v="0"/>
    <n v="93"/>
    <x v="29"/>
    <x v="2"/>
    <x v="1"/>
    <x v="0"/>
  </r>
  <r>
    <n v="1204"/>
    <x v="165"/>
    <s v="C008"/>
    <x v="10"/>
    <x v="7"/>
    <n v="299.99"/>
    <s v="R01"/>
    <x v="7"/>
    <x v="0"/>
    <n v="2999.9"/>
    <x v="7"/>
    <x v="10"/>
    <x v="0"/>
    <x v="0"/>
  </r>
  <r>
    <n v="1205"/>
    <x v="166"/>
    <s v="C006"/>
    <x v="6"/>
    <x v="6"/>
    <n v="149.99"/>
    <s v="R03"/>
    <x v="7"/>
    <x v="0"/>
    <n v="1199.92"/>
    <x v="5"/>
    <x v="6"/>
    <x v="0"/>
    <x v="2"/>
  </r>
  <r>
    <n v="1206"/>
    <x v="167"/>
    <s v="C029"/>
    <x v="4"/>
    <x v="1"/>
    <n v="9.99"/>
    <s v="R04"/>
    <x v="7"/>
    <x v="0"/>
    <n v="9.99"/>
    <x v="28"/>
    <x v="4"/>
    <x v="3"/>
    <x v="3"/>
  </r>
  <r>
    <n v="1207"/>
    <x v="168"/>
    <s v="C019"/>
    <x v="19"/>
    <x v="0"/>
    <n v="45.99"/>
    <s v="R02"/>
    <x v="7"/>
    <x v="0"/>
    <n v="91.98"/>
    <x v="18"/>
    <x v="19"/>
    <x v="0"/>
    <x v="1"/>
  </r>
  <r>
    <n v="1208"/>
    <x v="169"/>
    <s v="C015"/>
    <x v="0"/>
    <x v="1"/>
    <n v="25.99"/>
    <s v="R01"/>
    <x v="7"/>
    <x v="0"/>
    <n v="25.99"/>
    <x v="14"/>
    <x v="0"/>
    <x v="0"/>
    <x v="0"/>
  </r>
  <r>
    <n v="1209"/>
    <x v="170"/>
    <s v="C004"/>
    <x v="18"/>
    <x v="2"/>
    <n v="14.99"/>
    <s v="R04"/>
    <x v="7"/>
    <x v="0"/>
    <n v="74.95"/>
    <x v="3"/>
    <x v="18"/>
    <x v="0"/>
    <x v="3"/>
  </r>
  <r>
    <n v="1210"/>
    <x v="171"/>
    <s v="C005"/>
    <x v="18"/>
    <x v="3"/>
    <n v="14.99"/>
    <s v="R02"/>
    <x v="7"/>
    <x v="0"/>
    <n v="44.97"/>
    <x v="4"/>
    <x v="18"/>
    <x v="0"/>
    <x v="1"/>
  </r>
  <r>
    <n v="1211"/>
    <x v="172"/>
    <s v="C011"/>
    <x v="7"/>
    <x v="4"/>
    <n v="12.99"/>
    <s v="R03"/>
    <x v="7"/>
    <x v="0"/>
    <n v="51.96"/>
    <x v="10"/>
    <x v="7"/>
    <x v="3"/>
    <x v="2"/>
  </r>
  <r>
    <n v="1212"/>
    <x v="173"/>
    <s v="C020"/>
    <x v="17"/>
    <x v="2"/>
    <n v="59.99"/>
    <s v="R04"/>
    <x v="7"/>
    <x v="0"/>
    <n v="299.95"/>
    <x v="19"/>
    <x v="17"/>
    <x v="0"/>
    <x v="3"/>
  </r>
  <r>
    <n v="1213"/>
    <x v="174"/>
    <s v="C002"/>
    <x v="3"/>
    <x v="7"/>
    <n v="89.99"/>
    <s v="R02"/>
    <x v="7"/>
    <x v="0"/>
    <n v="899.9"/>
    <x v="1"/>
    <x v="3"/>
    <x v="2"/>
    <x v="1"/>
  </r>
  <r>
    <n v="1214"/>
    <x v="175"/>
    <s v="C015"/>
    <x v="2"/>
    <x v="9"/>
    <n v="15.5"/>
    <s v="R01"/>
    <x v="7"/>
    <x v="0"/>
    <n v="139.5"/>
    <x v="14"/>
    <x v="2"/>
    <x v="1"/>
    <x v="0"/>
  </r>
  <r>
    <n v="1215"/>
    <x v="176"/>
    <s v="C014"/>
    <x v="14"/>
    <x v="2"/>
    <n v="399.99"/>
    <s v="R02"/>
    <x v="7"/>
    <x v="0"/>
    <n v="1999.95"/>
    <x v="13"/>
    <x v="14"/>
    <x v="2"/>
    <x v="1"/>
  </r>
  <r>
    <n v="1216"/>
    <x v="177"/>
    <s v="C008"/>
    <x v="17"/>
    <x v="0"/>
    <n v="59.99"/>
    <s v="R01"/>
    <x v="7"/>
    <x v="0"/>
    <n v="119.98"/>
    <x v="7"/>
    <x v="17"/>
    <x v="0"/>
    <x v="0"/>
  </r>
  <r>
    <n v="1217"/>
    <x v="178"/>
    <s v="C029"/>
    <x v="18"/>
    <x v="1"/>
    <n v="14.99"/>
    <s v="R04"/>
    <x v="7"/>
    <x v="0"/>
    <n v="14.99"/>
    <x v="28"/>
    <x v="18"/>
    <x v="0"/>
    <x v="3"/>
  </r>
  <r>
    <n v="1218"/>
    <x v="179"/>
    <s v="C005"/>
    <x v="7"/>
    <x v="9"/>
    <n v="12.99"/>
    <s v="R02"/>
    <x v="7"/>
    <x v="0"/>
    <n v="116.91"/>
    <x v="4"/>
    <x v="7"/>
    <x v="3"/>
    <x v="1"/>
  </r>
  <r>
    <n v="1219"/>
    <x v="180"/>
    <s v="C002"/>
    <x v="6"/>
    <x v="3"/>
    <n v="149.99"/>
    <s v="R02"/>
    <x v="7"/>
    <x v="0"/>
    <n v="449.97"/>
    <x v="1"/>
    <x v="6"/>
    <x v="0"/>
    <x v="1"/>
  </r>
  <r>
    <n v="1220"/>
    <x v="181"/>
    <s v="C008"/>
    <x v="7"/>
    <x v="7"/>
    <n v="12.99"/>
    <s v="R01"/>
    <x v="7"/>
    <x v="0"/>
    <n v="129.9"/>
    <x v="7"/>
    <x v="7"/>
    <x v="3"/>
    <x v="0"/>
  </r>
  <r>
    <n v="1221"/>
    <x v="182"/>
    <s v="C008"/>
    <x v="10"/>
    <x v="6"/>
    <n v="299.99"/>
    <s v="R01"/>
    <x v="7"/>
    <x v="0"/>
    <n v="2399.92"/>
    <x v="7"/>
    <x v="10"/>
    <x v="0"/>
    <x v="0"/>
  </r>
  <r>
    <n v="1222"/>
    <x v="183"/>
    <s v="C018"/>
    <x v="1"/>
    <x v="8"/>
    <n v="199.99"/>
    <s v="R02"/>
    <x v="7"/>
    <x v="0"/>
    <n v="1399.93"/>
    <x v="17"/>
    <x v="1"/>
    <x v="0"/>
    <x v="1"/>
  </r>
  <r>
    <n v="1223"/>
    <x v="184"/>
    <s v="C030"/>
    <x v="17"/>
    <x v="3"/>
    <n v="59.99"/>
    <s v="R01"/>
    <x v="7"/>
    <x v="0"/>
    <n v="179.97"/>
    <x v="29"/>
    <x v="17"/>
    <x v="0"/>
    <x v="0"/>
  </r>
  <r>
    <n v="1224"/>
    <x v="185"/>
    <s v="C030"/>
    <x v="4"/>
    <x v="7"/>
    <n v="9.99"/>
    <s v="R01"/>
    <x v="7"/>
    <x v="0"/>
    <n v="99.9"/>
    <x v="29"/>
    <x v="4"/>
    <x v="3"/>
    <x v="0"/>
  </r>
  <r>
    <n v="1225"/>
    <x v="186"/>
    <s v="C019"/>
    <x v="5"/>
    <x v="4"/>
    <n v="49.99"/>
    <s v="R02"/>
    <x v="8"/>
    <x v="0"/>
    <n v="199.96"/>
    <x v="18"/>
    <x v="5"/>
    <x v="2"/>
    <x v="1"/>
  </r>
  <r>
    <n v="1226"/>
    <x v="187"/>
    <s v="C021"/>
    <x v="14"/>
    <x v="7"/>
    <n v="399.99"/>
    <s v="R04"/>
    <x v="8"/>
    <x v="0"/>
    <n v="3999.9"/>
    <x v="20"/>
    <x v="14"/>
    <x v="2"/>
    <x v="3"/>
  </r>
  <r>
    <n v="1227"/>
    <x v="188"/>
    <s v="C005"/>
    <x v="4"/>
    <x v="5"/>
    <n v="9.99"/>
    <s v="R02"/>
    <x v="8"/>
    <x v="0"/>
    <n v="59.94"/>
    <x v="4"/>
    <x v="4"/>
    <x v="3"/>
    <x v="1"/>
  </r>
  <r>
    <n v="1228"/>
    <x v="189"/>
    <s v="C002"/>
    <x v="14"/>
    <x v="0"/>
    <n v="399.99"/>
    <s v="R02"/>
    <x v="8"/>
    <x v="0"/>
    <n v="799.98"/>
    <x v="1"/>
    <x v="14"/>
    <x v="2"/>
    <x v="1"/>
  </r>
  <r>
    <n v="1229"/>
    <x v="190"/>
    <s v="C020"/>
    <x v="14"/>
    <x v="9"/>
    <n v="399.99"/>
    <s v="R04"/>
    <x v="8"/>
    <x v="0"/>
    <n v="3599.91"/>
    <x v="19"/>
    <x v="14"/>
    <x v="2"/>
    <x v="3"/>
  </r>
  <r>
    <n v="1230"/>
    <x v="191"/>
    <s v="C010"/>
    <x v="12"/>
    <x v="5"/>
    <n v="19.989999999999998"/>
    <s v="R03"/>
    <x v="8"/>
    <x v="0"/>
    <n v="119.94"/>
    <x v="9"/>
    <x v="12"/>
    <x v="5"/>
    <x v="2"/>
  </r>
  <r>
    <n v="1231"/>
    <x v="192"/>
    <s v="C023"/>
    <x v="6"/>
    <x v="5"/>
    <n v="149.99"/>
    <s v="R03"/>
    <x v="8"/>
    <x v="0"/>
    <n v="899.94"/>
    <x v="22"/>
    <x v="6"/>
    <x v="0"/>
    <x v="2"/>
  </r>
  <r>
    <n v="1232"/>
    <x v="193"/>
    <s v="C029"/>
    <x v="2"/>
    <x v="9"/>
    <n v="15.5"/>
    <s v="R04"/>
    <x v="8"/>
    <x v="0"/>
    <n v="139.5"/>
    <x v="28"/>
    <x v="2"/>
    <x v="1"/>
    <x v="3"/>
  </r>
  <r>
    <n v="1233"/>
    <x v="194"/>
    <s v="C003"/>
    <x v="4"/>
    <x v="1"/>
    <n v="9.99"/>
    <s v="R03"/>
    <x v="8"/>
    <x v="0"/>
    <n v="9.99"/>
    <x v="2"/>
    <x v="4"/>
    <x v="3"/>
    <x v="2"/>
  </r>
  <r>
    <n v="1234"/>
    <x v="195"/>
    <s v="C002"/>
    <x v="4"/>
    <x v="6"/>
    <n v="9.99"/>
    <s v="R02"/>
    <x v="8"/>
    <x v="0"/>
    <n v="79.92"/>
    <x v="1"/>
    <x v="4"/>
    <x v="3"/>
    <x v="1"/>
  </r>
  <r>
    <n v="1235"/>
    <x v="196"/>
    <s v="C023"/>
    <x v="3"/>
    <x v="3"/>
    <n v="89.99"/>
    <s v="R03"/>
    <x v="8"/>
    <x v="0"/>
    <n v="269.96999999999997"/>
    <x v="22"/>
    <x v="3"/>
    <x v="2"/>
    <x v="2"/>
  </r>
  <r>
    <n v="1236"/>
    <x v="197"/>
    <s v="C021"/>
    <x v="18"/>
    <x v="0"/>
    <n v="14.99"/>
    <s v="R04"/>
    <x v="8"/>
    <x v="0"/>
    <n v="29.98"/>
    <x v="20"/>
    <x v="18"/>
    <x v="0"/>
    <x v="3"/>
  </r>
  <r>
    <n v="1237"/>
    <x v="198"/>
    <s v="C004"/>
    <x v="5"/>
    <x v="1"/>
    <n v="49.99"/>
    <s v="R04"/>
    <x v="8"/>
    <x v="0"/>
    <n v="49.99"/>
    <x v="3"/>
    <x v="5"/>
    <x v="2"/>
    <x v="3"/>
  </r>
  <r>
    <n v="1238"/>
    <x v="199"/>
    <s v="C016"/>
    <x v="3"/>
    <x v="3"/>
    <n v="89.99"/>
    <s v="R01"/>
    <x v="8"/>
    <x v="0"/>
    <n v="269.96999999999997"/>
    <x v="15"/>
    <x v="3"/>
    <x v="2"/>
    <x v="0"/>
  </r>
  <r>
    <n v="1239"/>
    <x v="200"/>
    <s v="C026"/>
    <x v="8"/>
    <x v="7"/>
    <n v="39.99"/>
    <s v="R05"/>
    <x v="8"/>
    <x v="0"/>
    <n v="399.90000000000003"/>
    <x v="25"/>
    <x v="8"/>
    <x v="4"/>
    <x v="4"/>
  </r>
  <r>
    <n v="1240"/>
    <x v="201"/>
    <s v="C009"/>
    <x v="2"/>
    <x v="7"/>
    <n v="15.5"/>
    <s v="R04"/>
    <x v="8"/>
    <x v="0"/>
    <n v="155"/>
    <x v="8"/>
    <x v="2"/>
    <x v="1"/>
    <x v="3"/>
  </r>
  <r>
    <n v="1241"/>
    <x v="202"/>
    <s v="C026"/>
    <x v="17"/>
    <x v="9"/>
    <n v="59.99"/>
    <s v="R05"/>
    <x v="8"/>
    <x v="0"/>
    <n v="539.91"/>
    <x v="25"/>
    <x v="17"/>
    <x v="0"/>
    <x v="4"/>
  </r>
  <r>
    <n v="1242"/>
    <x v="203"/>
    <s v="C017"/>
    <x v="17"/>
    <x v="3"/>
    <n v="59.99"/>
    <s v="R03"/>
    <x v="8"/>
    <x v="0"/>
    <n v="179.97"/>
    <x v="16"/>
    <x v="17"/>
    <x v="0"/>
    <x v="2"/>
  </r>
  <r>
    <n v="1243"/>
    <x v="204"/>
    <s v="C013"/>
    <x v="4"/>
    <x v="0"/>
    <n v="9.99"/>
    <s v="R02"/>
    <x v="8"/>
    <x v="0"/>
    <n v="19.98"/>
    <x v="12"/>
    <x v="4"/>
    <x v="3"/>
    <x v="1"/>
  </r>
  <r>
    <n v="1244"/>
    <x v="205"/>
    <s v="C021"/>
    <x v="16"/>
    <x v="0"/>
    <n v="29.99"/>
    <s v="R04"/>
    <x v="8"/>
    <x v="0"/>
    <n v="59.98"/>
    <x v="20"/>
    <x v="16"/>
    <x v="4"/>
    <x v="3"/>
  </r>
  <r>
    <n v="1245"/>
    <x v="206"/>
    <s v="C024"/>
    <x v="9"/>
    <x v="5"/>
    <n v="5.99"/>
    <s v="R01"/>
    <x v="8"/>
    <x v="0"/>
    <n v="35.94"/>
    <x v="23"/>
    <x v="9"/>
    <x v="1"/>
    <x v="0"/>
  </r>
  <r>
    <n v="1246"/>
    <x v="207"/>
    <s v="C007"/>
    <x v="10"/>
    <x v="4"/>
    <n v="299.99"/>
    <s v="R05"/>
    <x v="8"/>
    <x v="0"/>
    <n v="1199.96"/>
    <x v="6"/>
    <x v="10"/>
    <x v="0"/>
    <x v="4"/>
  </r>
  <r>
    <n v="1247"/>
    <x v="208"/>
    <s v="C029"/>
    <x v="19"/>
    <x v="7"/>
    <n v="45.99"/>
    <s v="R04"/>
    <x v="9"/>
    <x v="0"/>
    <n v="459.90000000000003"/>
    <x v="28"/>
    <x v="19"/>
    <x v="0"/>
    <x v="3"/>
  </r>
  <r>
    <n v="1248"/>
    <x v="209"/>
    <s v="C014"/>
    <x v="9"/>
    <x v="3"/>
    <n v="5.99"/>
    <s v="R02"/>
    <x v="9"/>
    <x v="0"/>
    <n v="17.97"/>
    <x v="13"/>
    <x v="9"/>
    <x v="1"/>
    <x v="1"/>
  </r>
  <r>
    <n v="1249"/>
    <x v="210"/>
    <s v="C028"/>
    <x v="4"/>
    <x v="4"/>
    <n v="9.99"/>
    <s v="R02"/>
    <x v="9"/>
    <x v="0"/>
    <n v="39.96"/>
    <x v="27"/>
    <x v="4"/>
    <x v="3"/>
    <x v="1"/>
  </r>
  <r>
    <n v="1250"/>
    <x v="211"/>
    <s v="C030"/>
    <x v="18"/>
    <x v="7"/>
    <n v="14.99"/>
    <s v="R01"/>
    <x v="9"/>
    <x v="0"/>
    <n v="149.9"/>
    <x v="29"/>
    <x v="18"/>
    <x v="0"/>
    <x v="0"/>
  </r>
  <r>
    <n v="1251"/>
    <x v="212"/>
    <s v="C014"/>
    <x v="7"/>
    <x v="4"/>
    <n v="12.99"/>
    <s v="R02"/>
    <x v="9"/>
    <x v="0"/>
    <n v="51.96"/>
    <x v="13"/>
    <x v="7"/>
    <x v="3"/>
    <x v="1"/>
  </r>
  <r>
    <n v="1252"/>
    <x v="213"/>
    <s v="C025"/>
    <x v="19"/>
    <x v="9"/>
    <n v="45.99"/>
    <s v="R05"/>
    <x v="9"/>
    <x v="0"/>
    <n v="413.91"/>
    <x v="24"/>
    <x v="19"/>
    <x v="0"/>
    <x v="4"/>
  </r>
  <r>
    <n v="1253"/>
    <x v="214"/>
    <s v="C019"/>
    <x v="3"/>
    <x v="2"/>
    <n v="89.99"/>
    <s v="R02"/>
    <x v="9"/>
    <x v="0"/>
    <n v="449.95"/>
    <x v="18"/>
    <x v="3"/>
    <x v="2"/>
    <x v="1"/>
  </r>
  <r>
    <n v="1254"/>
    <x v="215"/>
    <s v="C018"/>
    <x v="17"/>
    <x v="8"/>
    <n v="59.99"/>
    <s v="R02"/>
    <x v="9"/>
    <x v="0"/>
    <n v="419.93"/>
    <x v="17"/>
    <x v="17"/>
    <x v="0"/>
    <x v="1"/>
  </r>
  <r>
    <n v="1255"/>
    <x v="216"/>
    <s v="C001"/>
    <x v="14"/>
    <x v="4"/>
    <n v="399.99"/>
    <s v="R01"/>
    <x v="9"/>
    <x v="0"/>
    <n v="1599.96"/>
    <x v="0"/>
    <x v="14"/>
    <x v="2"/>
    <x v="0"/>
  </r>
  <r>
    <n v="1256"/>
    <x v="217"/>
    <s v="C005"/>
    <x v="10"/>
    <x v="9"/>
    <n v="299.99"/>
    <s v="R02"/>
    <x v="9"/>
    <x v="0"/>
    <n v="2699.91"/>
    <x v="4"/>
    <x v="10"/>
    <x v="0"/>
    <x v="1"/>
  </r>
  <r>
    <n v="1257"/>
    <x v="218"/>
    <s v="C025"/>
    <x v="10"/>
    <x v="3"/>
    <n v="299.99"/>
    <s v="R05"/>
    <x v="9"/>
    <x v="0"/>
    <n v="899.97"/>
    <x v="24"/>
    <x v="10"/>
    <x v="0"/>
    <x v="4"/>
  </r>
  <r>
    <n v="1258"/>
    <x v="219"/>
    <s v="C025"/>
    <x v="15"/>
    <x v="4"/>
    <n v="3.99"/>
    <s v="R05"/>
    <x v="9"/>
    <x v="0"/>
    <n v="15.96"/>
    <x v="24"/>
    <x v="15"/>
    <x v="1"/>
    <x v="4"/>
  </r>
  <r>
    <n v="1259"/>
    <x v="220"/>
    <s v="C021"/>
    <x v="5"/>
    <x v="9"/>
    <n v="49.99"/>
    <s v="R04"/>
    <x v="9"/>
    <x v="0"/>
    <n v="449.91"/>
    <x v="20"/>
    <x v="5"/>
    <x v="2"/>
    <x v="3"/>
  </r>
  <r>
    <n v="1260"/>
    <x v="221"/>
    <s v="C024"/>
    <x v="4"/>
    <x v="9"/>
    <n v="9.99"/>
    <s v="R01"/>
    <x v="9"/>
    <x v="0"/>
    <n v="89.91"/>
    <x v="23"/>
    <x v="4"/>
    <x v="3"/>
    <x v="0"/>
  </r>
  <r>
    <n v="1261"/>
    <x v="222"/>
    <s v="C024"/>
    <x v="11"/>
    <x v="0"/>
    <n v="129.99"/>
    <s v="R01"/>
    <x v="9"/>
    <x v="0"/>
    <n v="259.98"/>
    <x v="23"/>
    <x v="11"/>
    <x v="0"/>
    <x v="0"/>
  </r>
  <r>
    <n v="1262"/>
    <x v="223"/>
    <s v="C028"/>
    <x v="5"/>
    <x v="5"/>
    <n v="49.99"/>
    <s v="R02"/>
    <x v="9"/>
    <x v="0"/>
    <n v="299.94"/>
    <x v="27"/>
    <x v="5"/>
    <x v="2"/>
    <x v="1"/>
  </r>
  <r>
    <n v="1263"/>
    <x v="224"/>
    <s v="C030"/>
    <x v="10"/>
    <x v="2"/>
    <n v="299.99"/>
    <s v="R01"/>
    <x v="9"/>
    <x v="0"/>
    <n v="1499.95"/>
    <x v="29"/>
    <x v="10"/>
    <x v="0"/>
    <x v="0"/>
  </r>
  <r>
    <n v="1264"/>
    <x v="225"/>
    <s v="C006"/>
    <x v="10"/>
    <x v="2"/>
    <n v="299.99"/>
    <s v="R03"/>
    <x v="9"/>
    <x v="0"/>
    <n v="1499.95"/>
    <x v="5"/>
    <x v="10"/>
    <x v="0"/>
    <x v="2"/>
  </r>
  <r>
    <n v="1265"/>
    <x v="226"/>
    <s v="C012"/>
    <x v="11"/>
    <x v="2"/>
    <n v="129.99"/>
    <s v="R03"/>
    <x v="9"/>
    <x v="0"/>
    <n v="649.95000000000005"/>
    <x v="11"/>
    <x v="11"/>
    <x v="0"/>
    <x v="2"/>
  </r>
  <r>
    <n v="1266"/>
    <x v="227"/>
    <s v="C026"/>
    <x v="6"/>
    <x v="5"/>
    <n v="149.99"/>
    <s v="R05"/>
    <x v="9"/>
    <x v="0"/>
    <n v="899.94"/>
    <x v="25"/>
    <x v="6"/>
    <x v="0"/>
    <x v="4"/>
  </r>
  <r>
    <n v="1267"/>
    <x v="228"/>
    <s v="C002"/>
    <x v="18"/>
    <x v="7"/>
    <n v="14.99"/>
    <s v="R02"/>
    <x v="9"/>
    <x v="0"/>
    <n v="149.9"/>
    <x v="1"/>
    <x v="18"/>
    <x v="0"/>
    <x v="1"/>
  </r>
  <r>
    <n v="1268"/>
    <x v="229"/>
    <s v="C015"/>
    <x v="12"/>
    <x v="9"/>
    <n v="19.989999999999998"/>
    <s v="R01"/>
    <x v="9"/>
    <x v="0"/>
    <n v="179.91"/>
    <x v="14"/>
    <x v="12"/>
    <x v="5"/>
    <x v="0"/>
  </r>
  <r>
    <n v="1269"/>
    <x v="230"/>
    <s v="C020"/>
    <x v="7"/>
    <x v="0"/>
    <n v="12.99"/>
    <s v="R04"/>
    <x v="9"/>
    <x v="0"/>
    <n v="25.98"/>
    <x v="19"/>
    <x v="7"/>
    <x v="3"/>
    <x v="3"/>
  </r>
  <r>
    <n v="1270"/>
    <x v="231"/>
    <s v="C005"/>
    <x v="2"/>
    <x v="4"/>
    <n v="15.5"/>
    <s v="R02"/>
    <x v="10"/>
    <x v="0"/>
    <n v="62"/>
    <x v="4"/>
    <x v="2"/>
    <x v="1"/>
    <x v="1"/>
  </r>
  <r>
    <n v="1271"/>
    <x v="232"/>
    <s v="C002"/>
    <x v="7"/>
    <x v="8"/>
    <n v="12.99"/>
    <s v="R02"/>
    <x v="10"/>
    <x v="0"/>
    <n v="90.93"/>
    <x v="1"/>
    <x v="7"/>
    <x v="3"/>
    <x v="1"/>
  </r>
  <r>
    <n v="1272"/>
    <x v="233"/>
    <s v="C023"/>
    <x v="2"/>
    <x v="8"/>
    <n v="15.5"/>
    <s v="R03"/>
    <x v="10"/>
    <x v="0"/>
    <n v="108.5"/>
    <x v="22"/>
    <x v="2"/>
    <x v="1"/>
    <x v="2"/>
  </r>
  <r>
    <n v="1273"/>
    <x v="234"/>
    <s v="C013"/>
    <x v="4"/>
    <x v="3"/>
    <n v="9.99"/>
    <s v="R02"/>
    <x v="10"/>
    <x v="0"/>
    <n v="29.97"/>
    <x v="12"/>
    <x v="4"/>
    <x v="3"/>
    <x v="1"/>
  </r>
  <r>
    <n v="1274"/>
    <x v="235"/>
    <s v="C004"/>
    <x v="19"/>
    <x v="9"/>
    <n v="45.99"/>
    <s v="R04"/>
    <x v="10"/>
    <x v="0"/>
    <n v="413.91"/>
    <x v="3"/>
    <x v="19"/>
    <x v="0"/>
    <x v="3"/>
  </r>
  <r>
    <n v="1275"/>
    <x v="236"/>
    <s v="C008"/>
    <x v="10"/>
    <x v="4"/>
    <n v="299.99"/>
    <s v="R01"/>
    <x v="10"/>
    <x v="0"/>
    <n v="1199.96"/>
    <x v="7"/>
    <x v="10"/>
    <x v="0"/>
    <x v="0"/>
  </r>
  <r>
    <n v="1276"/>
    <x v="237"/>
    <s v="C013"/>
    <x v="12"/>
    <x v="0"/>
    <n v="19.989999999999998"/>
    <s v="R02"/>
    <x v="10"/>
    <x v="0"/>
    <n v="39.979999999999997"/>
    <x v="12"/>
    <x v="12"/>
    <x v="5"/>
    <x v="1"/>
  </r>
  <r>
    <n v="1277"/>
    <x v="238"/>
    <s v="C002"/>
    <x v="13"/>
    <x v="5"/>
    <n v="79.989999999999995"/>
    <s v="R02"/>
    <x v="10"/>
    <x v="0"/>
    <n v="479.93999999999994"/>
    <x v="1"/>
    <x v="13"/>
    <x v="0"/>
    <x v="1"/>
  </r>
  <r>
    <n v="1278"/>
    <x v="239"/>
    <s v="C010"/>
    <x v="15"/>
    <x v="6"/>
    <n v="3.99"/>
    <s v="R03"/>
    <x v="10"/>
    <x v="0"/>
    <n v="31.92"/>
    <x v="9"/>
    <x v="15"/>
    <x v="1"/>
    <x v="2"/>
  </r>
  <r>
    <n v="1279"/>
    <x v="240"/>
    <s v="C004"/>
    <x v="7"/>
    <x v="4"/>
    <n v="12.99"/>
    <s v="R04"/>
    <x v="10"/>
    <x v="0"/>
    <n v="51.96"/>
    <x v="3"/>
    <x v="7"/>
    <x v="3"/>
    <x v="3"/>
  </r>
  <r>
    <n v="1280"/>
    <x v="241"/>
    <s v="C001"/>
    <x v="1"/>
    <x v="8"/>
    <n v="199.99"/>
    <s v="R01"/>
    <x v="10"/>
    <x v="0"/>
    <n v="1399.93"/>
    <x v="0"/>
    <x v="1"/>
    <x v="0"/>
    <x v="0"/>
  </r>
  <r>
    <n v="1281"/>
    <x v="242"/>
    <s v="C004"/>
    <x v="14"/>
    <x v="5"/>
    <n v="399.99"/>
    <s v="R04"/>
    <x v="10"/>
    <x v="0"/>
    <n v="2399.94"/>
    <x v="3"/>
    <x v="14"/>
    <x v="2"/>
    <x v="3"/>
  </r>
  <r>
    <n v="1282"/>
    <x v="243"/>
    <s v="C028"/>
    <x v="19"/>
    <x v="6"/>
    <n v="45.99"/>
    <s v="R02"/>
    <x v="10"/>
    <x v="0"/>
    <n v="367.92"/>
    <x v="27"/>
    <x v="19"/>
    <x v="0"/>
    <x v="1"/>
  </r>
  <r>
    <n v="1283"/>
    <x v="244"/>
    <s v="C008"/>
    <x v="8"/>
    <x v="7"/>
    <n v="39.99"/>
    <s v="R01"/>
    <x v="10"/>
    <x v="0"/>
    <n v="399.90000000000003"/>
    <x v="7"/>
    <x v="8"/>
    <x v="4"/>
    <x v="0"/>
  </r>
  <r>
    <n v="1284"/>
    <x v="245"/>
    <s v="C019"/>
    <x v="1"/>
    <x v="9"/>
    <n v="199.99"/>
    <s v="R02"/>
    <x v="10"/>
    <x v="0"/>
    <n v="1799.91"/>
    <x v="18"/>
    <x v="1"/>
    <x v="0"/>
    <x v="1"/>
  </r>
  <r>
    <n v="1285"/>
    <x v="246"/>
    <s v="C025"/>
    <x v="16"/>
    <x v="4"/>
    <n v="29.99"/>
    <s v="R05"/>
    <x v="10"/>
    <x v="0"/>
    <n v="119.96"/>
    <x v="24"/>
    <x v="16"/>
    <x v="4"/>
    <x v="4"/>
  </r>
  <r>
    <n v="1286"/>
    <x v="247"/>
    <s v="C010"/>
    <x v="5"/>
    <x v="5"/>
    <n v="49.99"/>
    <s v="R03"/>
    <x v="10"/>
    <x v="0"/>
    <n v="299.94"/>
    <x v="9"/>
    <x v="5"/>
    <x v="2"/>
    <x v="2"/>
  </r>
  <r>
    <n v="1287"/>
    <x v="248"/>
    <s v="C012"/>
    <x v="19"/>
    <x v="0"/>
    <n v="45.99"/>
    <s v="R03"/>
    <x v="10"/>
    <x v="0"/>
    <n v="91.98"/>
    <x v="11"/>
    <x v="19"/>
    <x v="0"/>
    <x v="2"/>
  </r>
  <r>
    <n v="1288"/>
    <x v="249"/>
    <s v="C025"/>
    <x v="6"/>
    <x v="8"/>
    <n v="149.99"/>
    <s v="R05"/>
    <x v="10"/>
    <x v="0"/>
    <n v="1049.93"/>
    <x v="24"/>
    <x v="6"/>
    <x v="0"/>
    <x v="4"/>
  </r>
  <r>
    <n v="1289"/>
    <x v="250"/>
    <s v="C030"/>
    <x v="8"/>
    <x v="2"/>
    <n v="39.99"/>
    <s v="R01"/>
    <x v="10"/>
    <x v="0"/>
    <n v="199.95000000000002"/>
    <x v="29"/>
    <x v="8"/>
    <x v="4"/>
    <x v="0"/>
  </r>
  <r>
    <n v="1290"/>
    <x v="251"/>
    <s v="C027"/>
    <x v="3"/>
    <x v="4"/>
    <n v="89.99"/>
    <s v="R04"/>
    <x v="11"/>
    <x v="0"/>
    <n v="359.96"/>
    <x v="26"/>
    <x v="3"/>
    <x v="2"/>
    <x v="3"/>
  </r>
  <r>
    <n v="1291"/>
    <x v="252"/>
    <s v="C024"/>
    <x v="13"/>
    <x v="5"/>
    <n v="79.989999999999995"/>
    <s v="R01"/>
    <x v="11"/>
    <x v="0"/>
    <n v="479.93999999999994"/>
    <x v="23"/>
    <x v="13"/>
    <x v="0"/>
    <x v="0"/>
  </r>
  <r>
    <n v="1292"/>
    <x v="253"/>
    <s v="C023"/>
    <x v="4"/>
    <x v="2"/>
    <n v="9.99"/>
    <s v="R03"/>
    <x v="11"/>
    <x v="0"/>
    <n v="49.95"/>
    <x v="22"/>
    <x v="4"/>
    <x v="3"/>
    <x v="2"/>
  </r>
  <r>
    <n v="1293"/>
    <x v="254"/>
    <s v="C002"/>
    <x v="13"/>
    <x v="8"/>
    <n v="79.989999999999995"/>
    <s v="R02"/>
    <x v="11"/>
    <x v="0"/>
    <n v="559.92999999999995"/>
    <x v="1"/>
    <x v="13"/>
    <x v="0"/>
    <x v="1"/>
  </r>
  <r>
    <n v="1294"/>
    <x v="255"/>
    <s v="C026"/>
    <x v="2"/>
    <x v="5"/>
    <n v="15.5"/>
    <s v="R05"/>
    <x v="11"/>
    <x v="0"/>
    <n v="93"/>
    <x v="25"/>
    <x v="2"/>
    <x v="1"/>
    <x v="4"/>
  </r>
  <r>
    <n v="1295"/>
    <x v="256"/>
    <s v="C022"/>
    <x v="9"/>
    <x v="5"/>
    <n v="5.99"/>
    <s v="R03"/>
    <x v="11"/>
    <x v="0"/>
    <n v="35.94"/>
    <x v="21"/>
    <x v="9"/>
    <x v="1"/>
    <x v="2"/>
  </r>
  <r>
    <n v="1296"/>
    <x v="257"/>
    <s v="C015"/>
    <x v="0"/>
    <x v="3"/>
    <n v="25.99"/>
    <s v="R01"/>
    <x v="11"/>
    <x v="0"/>
    <n v="77.97"/>
    <x v="14"/>
    <x v="0"/>
    <x v="0"/>
    <x v="0"/>
  </r>
  <r>
    <n v="1297"/>
    <x v="258"/>
    <s v="C001"/>
    <x v="5"/>
    <x v="3"/>
    <n v="49.99"/>
    <s v="R01"/>
    <x v="11"/>
    <x v="0"/>
    <n v="149.97"/>
    <x v="0"/>
    <x v="5"/>
    <x v="2"/>
    <x v="0"/>
  </r>
  <r>
    <n v="1298"/>
    <x v="259"/>
    <s v="C024"/>
    <x v="18"/>
    <x v="9"/>
    <n v="14.99"/>
    <s v="R01"/>
    <x v="11"/>
    <x v="0"/>
    <n v="134.91"/>
    <x v="23"/>
    <x v="18"/>
    <x v="0"/>
    <x v="0"/>
  </r>
  <r>
    <n v="1299"/>
    <x v="260"/>
    <s v="C019"/>
    <x v="6"/>
    <x v="1"/>
    <n v="149.99"/>
    <s v="R02"/>
    <x v="11"/>
    <x v="0"/>
    <n v="149.99"/>
    <x v="18"/>
    <x v="6"/>
    <x v="0"/>
    <x v="1"/>
  </r>
  <r>
    <n v="1300"/>
    <x v="261"/>
    <s v="C012"/>
    <x v="2"/>
    <x v="2"/>
    <n v="15.5"/>
    <s v="R03"/>
    <x v="11"/>
    <x v="0"/>
    <n v="77.5"/>
    <x v="11"/>
    <x v="2"/>
    <x v="1"/>
    <x v="2"/>
  </r>
  <r>
    <n v="1301"/>
    <x v="262"/>
    <s v="C012"/>
    <x v="17"/>
    <x v="0"/>
    <n v="59.99"/>
    <s v="R03"/>
    <x v="11"/>
    <x v="0"/>
    <n v="119.98"/>
    <x v="11"/>
    <x v="17"/>
    <x v="0"/>
    <x v="2"/>
  </r>
  <r>
    <n v="1302"/>
    <x v="263"/>
    <s v="C012"/>
    <x v="6"/>
    <x v="8"/>
    <n v="149.99"/>
    <s v="R03"/>
    <x v="11"/>
    <x v="0"/>
    <n v="1049.93"/>
    <x v="11"/>
    <x v="6"/>
    <x v="0"/>
    <x v="2"/>
  </r>
  <r>
    <n v="1303"/>
    <x v="264"/>
    <s v="C019"/>
    <x v="17"/>
    <x v="6"/>
    <n v="59.99"/>
    <s v="R02"/>
    <x v="11"/>
    <x v="0"/>
    <n v="479.92"/>
    <x v="18"/>
    <x v="17"/>
    <x v="0"/>
    <x v="1"/>
  </r>
  <r>
    <n v="1304"/>
    <x v="265"/>
    <s v="C017"/>
    <x v="12"/>
    <x v="4"/>
    <n v="19.989999999999998"/>
    <s v="R03"/>
    <x v="11"/>
    <x v="0"/>
    <n v="79.959999999999994"/>
    <x v="16"/>
    <x v="12"/>
    <x v="5"/>
    <x v="2"/>
  </r>
  <r>
    <n v="1305"/>
    <x v="266"/>
    <s v="C023"/>
    <x v="2"/>
    <x v="7"/>
    <n v="15.5"/>
    <s v="R03"/>
    <x v="11"/>
    <x v="0"/>
    <n v="155"/>
    <x v="22"/>
    <x v="2"/>
    <x v="1"/>
    <x v="2"/>
  </r>
  <r>
    <n v="1306"/>
    <x v="267"/>
    <s v="C019"/>
    <x v="8"/>
    <x v="6"/>
    <n v="39.99"/>
    <s v="R02"/>
    <x v="11"/>
    <x v="0"/>
    <n v="319.92"/>
    <x v="18"/>
    <x v="8"/>
    <x v="4"/>
    <x v="1"/>
  </r>
  <r>
    <n v="1307"/>
    <x v="268"/>
    <s v="C014"/>
    <x v="7"/>
    <x v="2"/>
    <n v="12.99"/>
    <s v="R02"/>
    <x v="11"/>
    <x v="0"/>
    <n v="64.95"/>
    <x v="13"/>
    <x v="7"/>
    <x v="3"/>
    <x v="1"/>
  </r>
  <r>
    <n v="1308"/>
    <x v="269"/>
    <s v="C003"/>
    <x v="17"/>
    <x v="7"/>
    <n v="59.99"/>
    <s v="R03"/>
    <x v="11"/>
    <x v="0"/>
    <n v="599.9"/>
    <x v="2"/>
    <x v="17"/>
    <x v="0"/>
    <x v="2"/>
  </r>
  <r>
    <n v="1309"/>
    <x v="270"/>
    <s v="C007"/>
    <x v="11"/>
    <x v="0"/>
    <n v="129.99"/>
    <s v="R05"/>
    <x v="11"/>
    <x v="0"/>
    <n v="259.98"/>
    <x v="6"/>
    <x v="11"/>
    <x v="0"/>
    <x v="4"/>
  </r>
  <r>
    <n v="1310"/>
    <x v="271"/>
    <s v="C003"/>
    <x v="12"/>
    <x v="7"/>
    <n v="19.989999999999998"/>
    <s v="R03"/>
    <x v="11"/>
    <x v="0"/>
    <n v="199.89999999999998"/>
    <x v="2"/>
    <x v="12"/>
    <x v="5"/>
    <x v="2"/>
  </r>
  <r>
    <n v="1311"/>
    <x v="272"/>
    <s v="C016"/>
    <x v="11"/>
    <x v="3"/>
    <n v="129.99"/>
    <s v="R01"/>
    <x v="11"/>
    <x v="0"/>
    <n v="389.97"/>
    <x v="15"/>
    <x v="11"/>
    <x v="0"/>
    <x v="0"/>
  </r>
  <r>
    <n v="1312"/>
    <x v="273"/>
    <s v="C007"/>
    <x v="0"/>
    <x v="6"/>
    <n v="25.99"/>
    <s v="R05"/>
    <x v="11"/>
    <x v="0"/>
    <n v="207.92"/>
    <x v="6"/>
    <x v="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23D07-C521-404B-B5FD-57C0EA7DEDFF}"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F2:G8" firstHeaderRow="1" firstDataRow="1" firstDataCol="1"/>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showAll="0"/>
    <pivotField showAll="0"/>
    <pivotField dataField="1" numFmtId="44" showAll="0"/>
    <pivotField showAll="0"/>
    <pivotField showAll="0"/>
    <pivotField showAll="0">
      <items count="7">
        <item x="4"/>
        <item x="0"/>
        <item x="2"/>
        <item x="3"/>
        <item x="5"/>
        <item x="1"/>
        <item t="default"/>
      </items>
    </pivotField>
    <pivotField axis="axisRow"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s>
  <rowFields count="1">
    <field x="13"/>
  </rowFields>
  <rowItems count="6">
    <i>
      <x v="2"/>
    </i>
    <i>
      <x/>
    </i>
    <i>
      <x v="4"/>
    </i>
    <i>
      <x v="1"/>
    </i>
    <i>
      <x v="3"/>
    </i>
    <i t="grand">
      <x/>
    </i>
  </rowItems>
  <colItems count="1">
    <i/>
  </colItems>
  <dataFields count="1">
    <dataField name="Sum of Revenue" fld="9"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7839F-DB69-47F4-ABDF-85C0ACB33AEA}"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J3" firstHeaderRow="1" firstDataRow="1" firstDataCol="0"/>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showAll="0"/>
    <pivotField showAll="0"/>
    <pivotField dataField="1" numFmtId="44" showAll="0"/>
    <pivotField showAll="0"/>
    <pivotField showAll="0"/>
    <pivotField showAll="0">
      <items count="7">
        <item x="4"/>
        <item x="0"/>
        <item x="2"/>
        <item x="3"/>
        <item x="5"/>
        <item x="1"/>
        <item t="default"/>
      </items>
    </pivotField>
    <pivotField showAll="0"/>
  </pivotFields>
  <rowItems count="1">
    <i/>
  </rowItems>
  <colItems count="1">
    <i/>
  </colItems>
  <dataFields count="1">
    <dataField name="Total Revenue" fld="9" baseField="0" baseItem="0" numFmtId="44"/>
  </dataFields>
  <formats count="2">
    <format dxfId="2">
      <pivotArea outline="0" collapsedLevelsAreSubtotals="1" fieldPosition="0"/>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1FD64-ADE4-4E64-849C-3292A82F1179}" name="Top 10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Name">
  <location ref="J12:K18" firstHeaderRow="1" firstDataRow="1" firstDataCol="1"/>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showAll="0"/>
    <pivotField showAll="0"/>
    <pivotField dataField="1" numFmtId="44" showAll="0"/>
    <pivotField axis="axisRow" showAll="0" measureFilter="1" sortType="descending">
      <items count="31">
        <item sd="0" x="20"/>
        <item x="5"/>
        <item x="22"/>
        <item x="9"/>
        <item x="8"/>
        <item x="17"/>
        <item sd="0" x="19"/>
        <item x="1"/>
        <item x="21"/>
        <item sd="0" x="18"/>
        <item x="10"/>
        <item x="15"/>
        <item x="4"/>
        <item x="26"/>
        <item x="23"/>
        <item x="7"/>
        <item x="6"/>
        <item x="28"/>
        <item x="0"/>
        <item x="16"/>
        <item x="13"/>
        <item x="11"/>
        <item x="12"/>
        <item x="2"/>
        <item x="14"/>
        <item x="25"/>
        <item x="27"/>
        <item x="3"/>
        <item x="29"/>
        <item x="24"/>
        <item t="default"/>
      </items>
      <autoSortScope>
        <pivotArea dataOnly="0" outline="0" fieldPosition="0">
          <references count="1">
            <reference field="4294967294" count="1" selected="0">
              <x v="0"/>
            </reference>
          </references>
        </pivotArea>
      </autoSortScope>
    </pivotField>
    <pivotField showAll="0"/>
    <pivotField showAll="0">
      <items count="7">
        <item x="4"/>
        <item x="0"/>
        <item x="2"/>
        <item x="3"/>
        <item x="5"/>
        <item x="1"/>
        <item t="default"/>
      </items>
    </pivotField>
    <pivotField showAll="0"/>
  </pivotFields>
  <rowFields count="1">
    <field x="10"/>
  </rowFields>
  <rowItems count="6">
    <i>
      <x v="15"/>
    </i>
    <i>
      <x v="5"/>
    </i>
    <i>
      <x/>
    </i>
    <i>
      <x v="9"/>
    </i>
    <i>
      <x v="6"/>
    </i>
    <i t="grand">
      <x/>
    </i>
  </rowItems>
  <colItems count="1">
    <i/>
  </colItems>
  <dataFields count="1">
    <dataField name="Sum of Revenue" fld="9" baseField="0" baseItem="0" numFmtId="44"/>
  </dataFields>
  <formats count="1">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30E52E-6A45-425A-997B-BDA1CC45A83E}"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14">
    <pivotField dataField="1"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items count="21">
        <item x="0"/>
        <item x="2"/>
        <item x="1"/>
        <item x="3"/>
        <item x="4"/>
        <item x="5"/>
        <item x="19"/>
        <item x="6"/>
        <item x="7"/>
        <item x="8"/>
        <item x="9"/>
        <item x="10"/>
        <item x="11"/>
        <item x="12"/>
        <item x="13"/>
        <item x="14"/>
        <item x="15"/>
        <item x="16"/>
        <item x="17"/>
        <item x="18"/>
        <item t="default"/>
      </items>
    </pivotField>
    <pivotField numFmtId="1" showAll="0"/>
    <pivotField numFmtId="44" showAll="0"/>
    <pivotField showAll="0"/>
    <pivotField showAll="0"/>
    <pivotField showAll="0"/>
    <pivotField numFmtId="44" showAll="0"/>
    <pivotField showAll="0"/>
    <pivotField showAll="0"/>
    <pivotField showAll="0">
      <items count="7">
        <item x="4"/>
        <item x="0"/>
        <item x="2"/>
        <item x="3"/>
        <item x="5"/>
        <item x="1"/>
        <item t="default"/>
      </items>
    </pivotField>
    <pivotField showAll="0"/>
  </pivotFields>
  <rowItems count="1">
    <i/>
  </rowItems>
  <colItems count="1">
    <i/>
  </colItems>
  <dataFields count="1">
    <dataField name="Total Orders" fld="0" subtotal="count" baseField="0" baseItem="0"/>
  </dataFields>
  <formats count="2">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E3636-498B-486F-A920-48849849EAD8}" name="Top 5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F12:G18" firstHeaderRow="1" firstDataRow="1" firstDataCol="1"/>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showAll="0"/>
    <pivotField showAll="0"/>
    <pivotField dataField="1" numFmtId="44" showAll="0"/>
    <pivotField showAll="0"/>
    <pivotField axis="axisRow" showAll="0" measureFilter="1" sortType="descending">
      <items count="21">
        <item x="8"/>
        <item x="19"/>
        <item x="4"/>
        <item x="5"/>
        <item x="12"/>
        <item x="18"/>
        <item x="13"/>
        <item x="16"/>
        <item x="6"/>
        <item x="2"/>
        <item x="3"/>
        <item x="9"/>
        <item x="11"/>
        <item x="1"/>
        <item x="14"/>
        <item x="15"/>
        <item x="10"/>
        <item x="7"/>
        <item x="17"/>
        <item x="0"/>
        <item t="default"/>
      </items>
      <autoSortScope>
        <pivotArea dataOnly="0" outline="0" fieldPosition="0">
          <references count="1">
            <reference field="4294967294" count="1" selected="0">
              <x v="0"/>
            </reference>
          </references>
        </pivotArea>
      </autoSortScope>
    </pivotField>
    <pivotField showAll="0">
      <items count="7">
        <item x="4"/>
        <item x="0"/>
        <item x="2"/>
        <item x="3"/>
        <item x="5"/>
        <item x="1"/>
        <item t="default"/>
      </items>
    </pivotField>
    <pivotField showAll="0"/>
  </pivotFields>
  <rowFields count="1">
    <field x="11"/>
  </rowFields>
  <rowItems count="6">
    <i>
      <x v="16"/>
    </i>
    <i>
      <x v="14"/>
    </i>
    <i>
      <x v="13"/>
    </i>
    <i>
      <x v="8"/>
    </i>
    <i>
      <x v="10"/>
    </i>
    <i t="grand">
      <x/>
    </i>
  </rowItems>
  <colItems count="1">
    <i/>
  </colItems>
  <dataFields count="1">
    <dataField name="Sum of Revenue" fld="9" baseField="0" baseItem="0" numFmtId="44"/>
  </dataFields>
  <formats count="1">
    <format dxfId="6">
      <pivotArea outline="0" collapsedLevelsAreSubtotals="1" fieldPosition="0"/>
    </format>
  </formats>
  <chartFormats count="1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16"/>
          </reference>
        </references>
      </pivotArea>
    </chartFormat>
    <chartFormat chart="11" format="2">
      <pivotArea type="data" outline="0" fieldPosition="0">
        <references count="2">
          <reference field="4294967294" count="1" selected="0">
            <x v="0"/>
          </reference>
          <reference field="11" count="1" selected="0">
            <x v="14"/>
          </reference>
        </references>
      </pivotArea>
    </chartFormat>
    <chartFormat chart="11" format="3">
      <pivotArea type="data" outline="0" fieldPosition="0">
        <references count="2">
          <reference field="4294967294" count="1" selected="0">
            <x v="0"/>
          </reference>
          <reference field="11" count="1" selected="0">
            <x v="13"/>
          </reference>
        </references>
      </pivotArea>
    </chartFormat>
    <chartFormat chart="11" format="4">
      <pivotArea type="data" outline="0" fieldPosition="0">
        <references count="2">
          <reference field="4294967294" count="1" selected="0">
            <x v="0"/>
          </reference>
          <reference field="11" count="1" selected="0">
            <x v="10"/>
          </reference>
        </references>
      </pivotArea>
    </chartFormat>
    <chartFormat chart="11" format="5">
      <pivotArea type="data" outline="0" fieldPosition="0">
        <references count="2">
          <reference field="4294967294" count="1" selected="0">
            <x v="0"/>
          </reference>
          <reference field="11" count="1" selected="0">
            <x v="8"/>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1" count="1" selected="0">
            <x v="16"/>
          </reference>
        </references>
      </pivotArea>
    </chartFormat>
    <chartFormat chart="17" format="14">
      <pivotArea type="data" outline="0" fieldPosition="0">
        <references count="2">
          <reference field="4294967294" count="1" selected="0">
            <x v="0"/>
          </reference>
          <reference field="11" count="1" selected="0">
            <x v="14"/>
          </reference>
        </references>
      </pivotArea>
    </chartFormat>
    <chartFormat chart="17" format="15">
      <pivotArea type="data" outline="0" fieldPosition="0">
        <references count="2">
          <reference field="4294967294" count="1" selected="0">
            <x v="0"/>
          </reference>
          <reference field="11" count="1" selected="0">
            <x v="13"/>
          </reference>
        </references>
      </pivotArea>
    </chartFormat>
    <chartFormat chart="17" format="16">
      <pivotArea type="data" outline="0" fieldPosition="0">
        <references count="2">
          <reference field="4294967294" count="1" selected="0">
            <x v="0"/>
          </reference>
          <reference field="11" count="1" selected="0">
            <x v="8"/>
          </reference>
        </references>
      </pivotArea>
    </chartFormat>
    <chartFormat chart="17" format="17">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F3952-39C6-429B-9EA1-2C7B6BFFCA41}"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2:C9" firstHeaderRow="1" firstDataRow="1" firstDataCol="1"/>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showAll="0"/>
    <pivotField showAll="0"/>
    <pivotField dataField="1" numFmtId="44" showAll="0"/>
    <pivotField showAll="0"/>
    <pivotField showAll="0"/>
    <pivotField axis="axisRow" showAll="0" sortType="descending">
      <items count="7">
        <item x="4"/>
        <item x="0"/>
        <item x="2"/>
        <item x="3"/>
        <item x="5"/>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7">
    <i>
      <x v="1"/>
    </i>
    <i>
      <x v="2"/>
    </i>
    <i>
      <x/>
    </i>
    <i>
      <x v="5"/>
    </i>
    <i>
      <x v="3"/>
    </i>
    <i>
      <x v="4"/>
    </i>
    <i t="grand">
      <x/>
    </i>
  </rowItems>
  <colItems count="1">
    <i/>
  </colItems>
  <dataFields count="1">
    <dataField name="Sum of Revenue" fld="9"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3721A1-2B4D-4368-9B41-163460CBB2F9}"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Month">
  <location ref="B12:C25" firstHeaderRow="1" firstDataRow="1" firstDataCol="1"/>
  <pivotFields count="14">
    <pivotField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pivotField numFmtId="44" showAll="0"/>
    <pivotField showAll="0"/>
    <pivotField axis="axisRow" showAll="0">
      <items count="13">
        <item x="0"/>
        <item x="1"/>
        <item x="2"/>
        <item x="3"/>
        <item x="4"/>
        <item x="5"/>
        <item x="6"/>
        <item x="7"/>
        <item x="8"/>
        <item x="9"/>
        <item x="10"/>
        <item x="11"/>
        <item t="default"/>
      </items>
    </pivotField>
    <pivotField showAll="0"/>
    <pivotField dataField="1" numFmtId="44" showAll="0"/>
    <pivotField showAll="0"/>
    <pivotField showAll="0"/>
    <pivotField showAll="0">
      <items count="7">
        <item x="4"/>
        <item x="0"/>
        <item x="2"/>
        <item x="3"/>
        <item x="5"/>
        <item x="1"/>
        <item t="default"/>
      </items>
    </pivotField>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Revenue" fld="9" baseField="0" baseItem="0" numFmtId="44"/>
  </dataFields>
  <formats count="1">
    <format dxfId="8">
      <pivotArea outline="0" collapsedLevelsAreSubtotals="1" fieldPosition="0"/>
    </format>
  </formats>
  <chartFormats count="15">
    <chartFormat chart="25"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7" count="1" selected="0">
            <x v="9"/>
          </reference>
        </references>
      </pivotArea>
    </chartFormat>
    <chartFormat chart="35" format="4">
      <pivotArea type="data" outline="0" fieldPosition="0">
        <references count="2">
          <reference field="4294967294" count="1" selected="0">
            <x v="0"/>
          </reference>
          <reference field="7" count="1" selected="0">
            <x v="7"/>
          </reference>
        </references>
      </pivotArea>
    </chartFormat>
    <chartFormat chart="35" format="5">
      <pivotArea type="data" outline="0" fieldPosition="0">
        <references count="2">
          <reference field="4294967294" count="1" selected="0">
            <x v="0"/>
          </reference>
          <reference field="7" count="1" selected="0">
            <x v="6"/>
          </reference>
        </references>
      </pivotArea>
    </chartFormat>
    <chartFormat chart="35" format="6">
      <pivotArea type="data" outline="0" fieldPosition="0">
        <references count="2">
          <reference field="4294967294" count="1" selected="0">
            <x v="0"/>
          </reference>
          <reference field="7" count="1" selected="0">
            <x v="5"/>
          </reference>
        </references>
      </pivotArea>
    </chartFormat>
    <chartFormat chart="35" format="7">
      <pivotArea type="data" outline="0" fieldPosition="0">
        <references count="2">
          <reference field="4294967294" count="1" selected="0">
            <x v="0"/>
          </reference>
          <reference field="7" count="1" selected="0">
            <x v="0"/>
          </reference>
        </references>
      </pivotArea>
    </chartFormat>
    <chartFormat chart="35" format="8">
      <pivotArea type="data" outline="0" fieldPosition="0">
        <references count="2">
          <reference field="4294967294" count="1" selected="0">
            <x v="0"/>
          </reference>
          <reference field="7" count="1" selected="0">
            <x v="1"/>
          </reference>
        </references>
      </pivotArea>
    </chartFormat>
    <chartFormat chart="35" format="9">
      <pivotArea type="data" outline="0" fieldPosition="0">
        <references count="2">
          <reference field="4294967294" count="1" selected="0">
            <x v="0"/>
          </reference>
          <reference field="7" count="1" selected="0">
            <x v="3"/>
          </reference>
        </references>
      </pivotArea>
    </chartFormat>
    <chartFormat chart="35" format="10">
      <pivotArea type="data" outline="0" fieldPosition="0">
        <references count="2">
          <reference field="4294967294" count="1" selected="0">
            <x v="0"/>
          </reference>
          <reference field="7" count="1" selected="0">
            <x v="2"/>
          </reference>
        </references>
      </pivotArea>
    </chartFormat>
    <chartFormat chart="35" format="11">
      <pivotArea type="data" outline="0" fieldPosition="0">
        <references count="2">
          <reference field="4294967294" count="1" selected="0">
            <x v="0"/>
          </reference>
          <reference field="7" count="1" selected="0">
            <x v="4"/>
          </reference>
        </references>
      </pivotArea>
    </chartFormat>
    <chartFormat chart="35" format="12">
      <pivotArea type="data" outline="0" fieldPosition="0">
        <references count="2">
          <reference field="4294967294" count="1" selected="0">
            <x v="0"/>
          </reference>
          <reference field="7" count="1" selected="0">
            <x v="11"/>
          </reference>
        </references>
      </pivotArea>
    </chartFormat>
    <chartFormat chart="35" format="13">
      <pivotArea type="data" outline="0" fieldPosition="0">
        <references count="2">
          <reference field="4294967294" count="1" selected="0">
            <x v="0"/>
          </reference>
          <reference field="7" count="1" selected="0">
            <x v="10"/>
          </reference>
        </references>
      </pivotArea>
    </chartFormat>
    <chartFormat chart="35" format="14">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16F2AC-16FA-494A-9AD4-2E293D849D62}" name="Top Selling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otal Orders by Region">
  <location ref="F22:G28" firstHeaderRow="1" firstDataRow="1" firstDataCol="1"/>
  <pivotFields count="14">
    <pivotField dataField="1" numFmtI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0"/>
        <item x="71"/>
        <item x="72"/>
        <item x="73"/>
        <item x="74"/>
        <item x="75"/>
        <item x="40"/>
        <item x="41"/>
        <item x="42"/>
        <item x="43"/>
        <item x="44"/>
        <item x="45"/>
        <item x="46"/>
        <item x="47"/>
        <item x="48"/>
        <item x="49"/>
        <item x="50"/>
        <item x="51"/>
        <item x="52"/>
        <item x="53"/>
        <item x="54"/>
        <item x="55"/>
        <item x="56"/>
        <item x="57"/>
        <item x="58"/>
        <item x="59"/>
        <item x="60"/>
        <item x="61"/>
        <item x="62"/>
        <item x="63"/>
        <item x="64"/>
        <item x="65"/>
        <item x="66"/>
        <item x="67"/>
        <item x="68"/>
        <item x="69"/>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showAll="0"/>
    <pivotField showAll="0"/>
    <pivotField numFmtId="1" showAll="0">
      <items count="11">
        <item x="1"/>
        <item x="0"/>
        <item x="3"/>
        <item x="4"/>
        <item x="2"/>
        <item x="5"/>
        <item x="8"/>
        <item x="6"/>
        <item x="9"/>
        <item x="7"/>
        <item t="default"/>
      </items>
    </pivotField>
    <pivotField numFmtId="44" showAll="0"/>
    <pivotField showAll="0"/>
    <pivotField showAll="0">
      <items count="13">
        <item x="0"/>
        <item x="1"/>
        <item x="2"/>
        <item x="3"/>
        <item x="4"/>
        <item x="5"/>
        <item x="6"/>
        <item x="7"/>
        <item x="8"/>
        <item x="9"/>
        <item x="10"/>
        <item x="11"/>
        <item t="default"/>
      </items>
    </pivotField>
    <pivotField showAll="0">
      <items count="2">
        <item x="0"/>
        <item t="default"/>
      </items>
    </pivotField>
    <pivotField numFmtId="44" showAll="0"/>
    <pivotField showAll="0">
      <items count="31">
        <item x="20"/>
        <item x="5"/>
        <item x="22"/>
        <item x="9"/>
        <item x="8"/>
        <item x="17"/>
        <item x="19"/>
        <item x="1"/>
        <item x="21"/>
        <item x="18"/>
        <item x="10"/>
        <item x="15"/>
        <item x="4"/>
        <item x="26"/>
        <item x="23"/>
        <item x="7"/>
        <item x="6"/>
        <item x="28"/>
        <item x="0"/>
        <item x="16"/>
        <item x="13"/>
        <item x="11"/>
        <item x="12"/>
        <item x="2"/>
        <item x="14"/>
        <item x="25"/>
        <item x="27"/>
        <item x="3"/>
        <item x="29"/>
        <item x="24"/>
        <item t="default"/>
      </items>
    </pivotField>
    <pivotField showAll="0"/>
    <pivotField showAll="0">
      <items count="7">
        <item x="4"/>
        <item x="0"/>
        <item x="2"/>
        <item x="3"/>
        <item x="5"/>
        <item x="1"/>
        <item t="default"/>
      </items>
    </pivotField>
    <pivotField axis="axisRow" showAll="0">
      <items count="6">
        <item sd="0" x="0"/>
        <item sd="0" x="2"/>
        <item sd="0" x="1"/>
        <item sd="0" x="4"/>
        <item sd="0" x="3"/>
        <item t="default"/>
      </items>
    </pivotField>
  </pivotFields>
  <rowFields count="1">
    <field x="13"/>
  </rowFields>
  <rowItems count="6">
    <i>
      <x/>
    </i>
    <i>
      <x v="1"/>
    </i>
    <i>
      <x v="2"/>
    </i>
    <i>
      <x v="3"/>
    </i>
    <i>
      <x v="4"/>
    </i>
    <i t="grand">
      <x/>
    </i>
  </rowItems>
  <colItems count="1">
    <i/>
  </colItems>
  <dataFields count="1">
    <dataField name="Count of OrderID" fld="0" subtotal="count" baseField="13" baseItem="0"/>
  </dataFields>
  <formats count="1">
    <format dxfId="9">
      <pivotArea outline="0" collapsedLevelsAreSubtotals="1" fieldPosition="0"/>
    </format>
  </formats>
  <chartFormats count="12">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3" count="1" selected="0">
            <x v="0"/>
          </reference>
        </references>
      </pivotArea>
    </chartFormat>
    <chartFormat chart="8" format="3">
      <pivotArea type="data" outline="0" fieldPosition="0">
        <references count="2">
          <reference field="4294967294" count="1" selected="0">
            <x v="0"/>
          </reference>
          <reference field="13" count="1" selected="0">
            <x v="1"/>
          </reference>
        </references>
      </pivotArea>
    </chartFormat>
    <chartFormat chart="8" format="4">
      <pivotArea type="data" outline="0" fieldPosition="0">
        <references count="2">
          <reference field="4294967294" count="1" selected="0">
            <x v="0"/>
          </reference>
          <reference field="13" count="1" selected="0">
            <x v="2"/>
          </reference>
        </references>
      </pivotArea>
    </chartFormat>
    <chartFormat chart="8" format="5">
      <pivotArea type="data" outline="0" fieldPosition="0">
        <references count="2">
          <reference field="4294967294" count="1" selected="0">
            <x v="0"/>
          </reference>
          <reference field="13" count="1" selected="0">
            <x v="3"/>
          </reference>
        </references>
      </pivotArea>
    </chartFormat>
    <chartFormat chart="8" format="6">
      <pivotArea type="data" outline="0" fieldPosition="0">
        <references count="2">
          <reference field="4294967294" count="1" selected="0">
            <x v="0"/>
          </reference>
          <reference field="1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3" count="1" selected="0">
            <x v="0"/>
          </reference>
        </references>
      </pivotArea>
    </chartFormat>
    <chartFormat chart="9" format="9">
      <pivotArea type="data" outline="0" fieldPosition="0">
        <references count="2">
          <reference field="4294967294" count="1" selected="0">
            <x v="0"/>
          </reference>
          <reference field="13" count="1" selected="0">
            <x v="1"/>
          </reference>
        </references>
      </pivotArea>
    </chartFormat>
    <chartFormat chart="9" format="10">
      <pivotArea type="data" outline="0" fieldPosition="0">
        <references count="2">
          <reference field="4294967294" count="1" selected="0">
            <x v="0"/>
          </reference>
          <reference field="13" count="1" selected="0">
            <x v="2"/>
          </reference>
        </references>
      </pivotArea>
    </chartFormat>
    <chartFormat chart="9" format="11">
      <pivotArea type="data" outline="0" fieldPosition="0">
        <references count="2">
          <reference field="4294967294" count="1" selected="0">
            <x v="0"/>
          </reference>
          <reference field="13" count="1" selected="0">
            <x v="3"/>
          </reference>
        </references>
      </pivotArea>
    </chartFormat>
    <chartFormat chart="9"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CF289272-7E36-4F75-A790-AB4E20CEB7C0}" sourceName="CategoryName">
  <pivotTables>
    <pivotTable tabId="11" name="Revenue by Month"/>
    <pivotTable tabId="11" name="Revenue by Region"/>
    <pivotTable tabId="11" name="Top 10 Customer"/>
    <pivotTable tabId="11" name="Top 5 Product"/>
    <pivotTable tabId="11" name="Top Selling Category"/>
    <pivotTable tabId="11" name="Total Orders"/>
    <pivotTable tabId="11" name="Total Revenue"/>
  </pivotTables>
  <data>
    <tabular pivotCacheId="1357323035" showMissing="0">
      <items count="6">
        <i x="4" s="1"/>
        <i x="0" s="1"/>
        <i x="2" s="1"/>
        <i x="3"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EADD3F-ABC6-465C-B8AB-B09DB990D0A7}" cache="Slicer_CategoryName" caption="Category" style="SlicerStyleDark1" rowHeight="356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3F1F48-F1AC-4EEF-A184-C03C38654D8A}" name="Customers" displayName="Customers" ref="A1:F31" totalsRowShown="0">
  <autoFilter ref="A1:F31" xr:uid="{F53F1F48-F1AC-4EEF-A184-C03C38654D8A}"/>
  <sortState xmlns:xlrd2="http://schemas.microsoft.com/office/spreadsheetml/2017/richdata2" ref="A2:F31">
    <sortCondition ref="A1:A31"/>
  </sortState>
  <tableColumns count="6">
    <tableColumn id="1" xr3:uid="{76AE7EF7-C546-4A3D-BA11-5D0E16DD3DDB}" name="CustomerID"/>
    <tableColumn id="2" xr3:uid="{2222AF2C-195F-4634-AB87-3D862BF7BFBF}" name="CustomerName"/>
    <tableColumn id="3" xr3:uid="{AAD8CB3C-91F3-4B6B-AF06-96BB743FEAFD}" name="Gender"/>
    <tableColumn id="4" xr3:uid="{B81278BF-3E3D-43BA-8E7A-9A22E4518696}" name="Age"/>
    <tableColumn id="5" xr3:uid="{6398D07C-FAD9-44F3-8EAA-1BDAE4DFC6A1}" name="City"/>
    <tableColumn id="6" xr3:uid="{E9825FDA-6C9E-48F6-B65A-45FBBA776148}" name="RegionID"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FB92ADE-1DE4-462C-9E2F-8F3BC4FF218A}" name="Regions" displayName="Regions" ref="A1:B6" totalsRowShown="0">
  <autoFilter ref="A1:B6" xr:uid="{FFB92ADE-1DE4-462C-9E2F-8F3BC4FF218A}"/>
  <tableColumns count="2">
    <tableColumn id="1" xr3:uid="{3E4C65E0-B989-440D-8809-5C9F25B06F43}" name="RegionID"/>
    <tableColumn id="2" xr3:uid="{85CBBF1F-095C-4E24-BE8C-C533FFF9F350}" name="Region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95F921-566D-413B-8695-0081B38F2E0F}" name="Products" displayName="Products" ref="A1:D21" totalsRowShown="0">
  <autoFilter ref="A1:D21" xr:uid="{3F95F921-566D-413B-8695-0081B38F2E0F}"/>
  <tableColumns count="4">
    <tableColumn id="1" xr3:uid="{46B2FE63-4C5F-475C-A256-EC73DCB9CEDF}" name="ProductID"/>
    <tableColumn id="2" xr3:uid="{207A5CA6-4393-4B03-A9DB-EB4310AAFB4D}" name="ProductName"/>
    <tableColumn id="3" xr3:uid="{25D0AD0E-1158-47DD-8EC0-317DEEE5C07B}" name="Category"/>
    <tableColumn id="4" xr3:uid="{92816B69-1D15-487B-9F70-28D959B407BF}" name="UnitPrice" dataDxf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A0507A-BC8B-4729-91AA-D53982CF7D2C}" name="Orders" displayName="Orders" ref="A1:N313" totalsRowShown="0">
  <autoFilter ref="A1:N313" xr:uid="{AAA0507A-BC8B-4729-91AA-D53982CF7D2C}"/>
  <sortState xmlns:xlrd2="http://schemas.microsoft.com/office/spreadsheetml/2017/richdata2" ref="A2:G313">
    <sortCondition ref="A1:A313"/>
  </sortState>
  <tableColumns count="14">
    <tableColumn id="1" xr3:uid="{BE450345-CBAA-45F0-9CB8-7337A47EB3ED}" name="OrderID" dataDxfId="20"/>
    <tableColumn id="2" xr3:uid="{C23CEBC8-9BAB-4125-9AFD-39EE556C1ADF}" name="OrderDate" dataDxfId="19"/>
    <tableColumn id="3" xr3:uid="{D0B30A5E-5D0E-4D20-A312-C4F1B8576CAD}" name="CustomerID"/>
    <tableColumn id="4" xr3:uid="{8672D144-3D1A-49D3-9AB5-C6B8FD6AB34C}" name="ProductID"/>
    <tableColumn id="5" xr3:uid="{1CBCE9C2-FACA-4D2E-919E-F3A5A017665E}" name="Quantity" dataDxfId="18"/>
    <tableColumn id="6" xr3:uid="{55B07C2C-B9E7-4854-BE41-9603423EBD6C}" name="UnitPrice" dataDxfId="17">
      <calculatedColumnFormula>_xlfn.XLOOKUP(Orders[[#This Row],[ProductID]],Products!A:A,Products!D:D)</calculatedColumnFormula>
    </tableColumn>
    <tableColumn id="7" xr3:uid="{E3320DF8-9C24-4CF7-93D2-2EE6A34750D6}" name="RegionID"/>
    <tableColumn id="8" xr3:uid="{82FB2B7D-505C-4FBE-8DE1-E84ED61C2D27}" name="Month" dataDxfId="16">
      <calculatedColumnFormula>TEXT(Orders[[#This Row],[OrderDate]],"mmm")</calculatedColumnFormula>
    </tableColumn>
    <tableColumn id="9" xr3:uid="{A0538D52-FC07-443D-92C0-1EF321F982A6}" name="Year" dataDxfId="15">
      <calculatedColumnFormula>YEAR(Orders[[#This Row],[OrderDate]])</calculatedColumnFormula>
    </tableColumn>
    <tableColumn id="10" xr3:uid="{88BC7ABE-A18F-43D3-B2B3-57F9FAD71B3C}" name="Revenue" dataDxfId="14">
      <calculatedColumnFormula>Orders[[#This Row],[Quantity]]*Orders[[#This Row],[UnitPrice]]</calculatedColumnFormula>
    </tableColumn>
    <tableColumn id="11" xr3:uid="{7976E83C-FA27-4428-B3F6-7559D95E7838}" name="CustomerName" dataDxfId="13">
      <calculatedColumnFormula>_xlfn.XLOOKUP(Orders[[#This Row],[CustomerID]],'Customers'!A:A,'Customers'!B:B)</calculatedColumnFormula>
    </tableColumn>
    <tableColumn id="12" xr3:uid="{8B829A17-C954-47FA-9E91-3D18D872A788}" name="ProductName" dataDxfId="12">
      <calculatedColumnFormula>_xlfn.XLOOKUP(Orders[[#This Row],[ProductID]],Products!A:A,Products!B:B)</calculatedColumnFormula>
    </tableColumn>
    <tableColumn id="13" xr3:uid="{E98CEBCA-AA0C-4910-8F13-ABF69F6DC672}" name="CategoryName" dataDxfId="11">
      <calculatedColumnFormula>_xlfn.XLOOKUP(Orders[[#This Row],[ProductID]],Products!A:A,Products!C:C)</calculatedColumnFormula>
    </tableColumn>
    <tableColumn id="14" xr3:uid="{E5040B98-F2A9-4C26-B01C-73E6AF160E7C}" name="RegionName" dataDxfId="10">
      <calculatedColumnFormula>_xlfn.XLOOKUP(Orders[[#This Row],[RegionID]],'Regions'!A:A,'Regions'!B:B)</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BA50-D06F-4A2F-AD0B-0675891C65D1}">
  <dimension ref="A1:F31"/>
  <sheetViews>
    <sheetView workbookViewId="0">
      <selection activeCell="J12" sqref="J12"/>
    </sheetView>
  </sheetViews>
  <sheetFormatPr defaultRowHeight="15" x14ac:dyDescent="0.25"/>
  <cols>
    <col min="1" max="1" width="14.140625" customWidth="1"/>
    <col min="2" max="2" width="17.42578125" customWidth="1"/>
    <col min="3" max="3" width="9.85546875" customWidth="1"/>
    <col min="5" max="5" width="11.85546875" bestFit="1" customWidth="1"/>
    <col min="6" max="6" width="11.5703125" bestFit="1" customWidth="1"/>
  </cols>
  <sheetData>
    <row r="1" spans="1:6" x14ac:dyDescent="0.25">
      <c r="A1" t="s">
        <v>2</v>
      </c>
      <c r="B1" t="s">
        <v>62</v>
      </c>
      <c r="C1" t="s">
        <v>63</v>
      </c>
      <c r="D1" t="s">
        <v>64</v>
      </c>
      <c r="E1" t="s">
        <v>65</v>
      </c>
      <c r="F1" t="s">
        <v>6</v>
      </c>
    </row>
    <row r="2" spans="1:6" x14ac:dyDescent="0.25">
      <c r="A2" t="s">
        <v>7</v>
      </c>
      <c r="B2" t="s">
        <v>66</v>
      </c>
      <c r="C2" t="s">
        <v>67</v>
      </c>
      <c r="D2">
        <v>34</v>
      </c>
      <c r="E2" t="s">
        <v>68</v>
      </c>
      <c r="F2" t="s">
        <v>9</v>
      </c>
    </row>
    <row r="3" spans="1:6" x14ac:dyDescent="0.25">
      <c r="A3" t="s">
        <v>10</v>
      </c>
      <c r="B3" t="s">
        <v>69</v>
      </c>
      <c r="C3" t="s">
        <v>70</v>
      </c>
      <c r="D3">
        <v>28</v>
      </c>
      <c r="E3" t="s">
        <v>71</v>
      </c>
      <c r="F3" t="s">
        <v>12</v>
      </c>
    </row>
    <row r="4" spans="1:6" x14ac:dyDescent="0.25">
      <c r="A4" t="s">
        <v>13</v>
      </c>
      <c r="B4" t="s">
        <v>72</v>
      </c>
      <c r="C4" t="s">
        <v>67</v>
      </c>
      <c r="D4">
        <v>45</v>
      </c>
      <c r="E4" t="s">
        <v>73</v>
      </c>
      <c r="F4" t="s">
        <v>15</v>
      </c>
    </row>
    <row r="5" spans="1:6" x14ac:dyDescent="0.25">
      <c r="A5" t="s">
        <v>16</v>
      </c>
      <c r="B5" t="s">
        <v>74</v>
      </c>
      <c r="C5" t="s">
        <v>70</v>
      </c>
      <c r="D5">
        <v>31</v>
      </c>
      <c r="E5" t="s">
        <v>75</v>
      </c>
      <c r="F5" t="s">
        <v>18</v>
      </c>
    </row>
    <row r="6" spans="1:6" x14ac:dyDescent="0.25">
      <c r="A6" t="s">
        <v>19</v>
      </c>
      <c r="B6" t="s">
        <v>76</v>
      </c>
      <c r="C6" t="s">
        <v>67</v>
      </c>
      <c r="D6">
        <v>39</v>
      </c>
      <c r="E6" t="s">
        <v>77</v>
      </c>
      <c r="F6" t="s">
        <v>12</v>
      </c>
    </row>
    <row r="7" spans="1:6" x14ac:dyDescent="0.25">
      <c r="A7" t="s">
        <v>21</v>
      </c>
      <c r="B7" t="s">
        <v>78</v>
      </c>
      <c r="C7" t="s">
        <v>70</v>
      </c>
      <c r="D7">
        <v>26</v>
      </c>
      <c r="E7" t="s">
        <v>79</v>
      </c>
      <c r="F7" t="s">
        <v>15</v>
      </c>
    </row>
    <row r="8" spans="1:6" x14ac:dyDescent="0.25">
      <c r="A8" t="s">
        <v>23</v>
      </c>
      <c r="B8" t="s">
        <v>80</v>
      </c>
      <c r="C8" t="s">
        <v>67</v>
      </c>
      <c r="D8">
        <v>50</v>
      </c>
      <c r="E8" t="s">
        <v>81</v>
      </c>
      <c r="F8" t="s">
        <v>25</v>
      </c>
    </row>
    <row r="9" spans="1:6" x14ac:dyDescent="0.25">
      <c r="A9" t="s">
        <v>26</v>
      </c>
      <c r="B9" t="s">
        <v>82</v>
      </c>
      <c r="C9" t="s">
        <v>70</v>
      </c>
      <c r="D9">
        <v>29</v>
      </c>
      <c r="E9" t="s">
        <v>68</v>
      </c>
      <c r="F9" t="s">
        <v>9</v>
      </c>
    </row>
    <row r="10" spans="1:6" x14ac:dyDescent="0.25">
      <c r="A10" t="s">
        <v>28</v>
      </c>
      <c r="B10" t="s">
        <v>83</v>
      </c>
      <c r="C10" t="s">
        <v>67</v>
      </c>
      <c r="D10">
        <v>41</v>
      </c>
      <c r="E10" t="s">
        <v>84</v>
      </c>
      <c r="F10" t="s">
        <v>18</v>
      </c>
    </row>
    <row r="11" spans="1:6" x14ac:dyDescent="0.25">
      <c r="A11" t="s">
        <v>30</v>
      </c>
      <c r="B11" t="s">
        <v>85</v>
      </c>
      <c r="C11" t="s">
        <v>70</v>
      </c>
      <c r="D11">
        <v>36</v>
      </c>
      <c r="E11" t="s">
        <v>86</v>
      </c>
      <c r="F11" t="s">
        <v>15</v>
      </c>
    </row>
    <row r="12" spans="1:6" x14ac:dyDescent="0.25">
      <c r="A12" t="s">
        <v>32</v>
      </c>
      <c r="B12" t="s">
        <v>87</v>
      </c>
      <c r="C12" t="s">
        <v>67</v>
      </c>
      <c r="D12">
        <v>33</v>
      </c>
      <c r="E12" t="s">
        <v>88</v>
      </c>
      <c r="F12" t="s">
        <v>15</v>
      </c>
    </row>
    <row r="13" spans="1:6" x14ac:dyDescent="0.25">
      <c r="A13" t="s">
        <v>34</v>
      </c>
      <c r="B13" t="s">
        <v>89</v>
      </c>
      <c r="C13" t="s">
        <v>70</v>
      </c>
      <c r="D13">
        <v>27</v>
      </c>
      <c r="E13" t="s">
        <v>90</v>
      </c>
      <c r="F13" t="s">
        <v>15</v>
      </c>
    </row>
    <row r="14" spans="1:6" x14ac:dyDescent="0.25">
      <c r="A14" t="s">
        <v>36</v>
      </c>
      <c r="B14" t="s">
        <v>91</v>
      </c>
      <c r="C14" t="s">
        <v>67</v>
      </c>
      <c r="D14">
        <v>38</v>
      </c>
      <c r="E14" t="s">
        <v>92</v>
      </c>
      <c r="F14" t="s">
        <v>12</v>
      </c>
    </row>
    <row r="15" spans="1:6" x14ac:dyDescent="0.25">
      <c r="A15" t="s">
        <v>38</v>
      </c>
      <c r="B15" t="s">
        <v>93</v>
      </c>
      <c r="C15" t="s">
        <v>70</v>
      </c>
      <c r="D15">
        <v>30</v>
      </c>
      <c r="E15" t="s">
        <v>94</v>
      </c>
      <c r="F15" t="s">
        <v>12</v>
      </c>
    </row>
    <row r="16" spans="1:6" x14ac:dyDescent="0.25">
      <c r="A16" t="s">
        <v>40</v>
      </c>
      <c r="B16" t="s">
        <v>95</v>
      </c>
      <c r="C16" t="s">
        <v>67</v>
      </c>
      <c r="D16">
        <v>44</v>
      </c>
      <c r="E16" t="s">
        <v>96</v>
      </c>
      <c r="F16" t="s">
        <v>9</v>
      </c>
    </row>
    <row r="17" spans="1:6" x14ac:dyDescent="0.25">
      <c r="A17" t="s">
        <v>42</v>
      </c>
      <c r="B17" t="s">
        <v>97</v>
      </c>
      <c r="C17" t="s">
        <v>70</v>
      </c>
      <c r="D17">
        <v>35</v>
      </c>
      <c r="E17" t="s">
        <v>68</v>
      </c>
      <c r="F17" t="s">
        <v>9</v>
      </c>
    </row>
    <row r="18" spans="1:6" x14ac:dyDescent="0.25">
      <c r="A18" t="s">
        <v>44</v>
      </c>
      <c r="B18" t="s">
        <v>98</v>
      </c>
      <c r="C18" t="s">
        <v>67</v>
      </c>
      <c r="D18">
        <v>32</v>
      </c>
      <c r="E18" t="s">
        <v>79</v>
      </c>
      <c r="F18" t="s">
        <v>15</v>
      </c>
    </row>
    <row r="19" spans="1:6" x14ac:dyDescent="0.25">
      <c r="A19" t="s">
        <v>46</v>
      </c>
      <c r="B19" t="s">
        <v>99</v>
      </c>
      <c r="C19" t="s">
        <v>70</v>
      </c>
      <c r="D19">
        <v>25</v>
      </c>
      <c r="E19" t="s">
        <v>77</v>
      </c>
      <c r="F19" t="s">
        <v>12</v>
      </c>
    </row>
    <row r="20" spans="1:6" x14ac:dyDescent="0.25">
      <c r="A20" t="s">
        <v>48</v>
      </c>
      <c r="B20" t="s">
        <v>100</v>
      </c>
      <c r="C20" t="s">
        <v>67</v>
      </c>
      <c r="D20">
        <v>48</v>
      </c>
      <c r="E20" t="s">
        <v>71</v>
      </c>
      <c r="F20" t="s">
        <v>12</v>
      </c>
    </row>
    <row r="21" spans="1:6" x14ac:dyDescent="0.25">
      <c r="A21" t="s">
        <v>50</v>
      </c>
      <c r="B21" t="s">
        <v>101</v>
      </c>
      <c r="C21" t="s">
        <v>70</v>
      </c>
      <c r="D21">
        <v>29</v>
      </c>
      <c r="E21" t="s">
        <v>75</v>
      </c>
      <c r="F21" t="s">
        <v>18</v>
      </c>
    </row>
    <row r="22" spans="1:6" x14ac:dyDescent="0.25">
      <c r="A22" t="s">
        <v>51</v>
      </c>
      <c r="B22" t="s">
        <v>102</v>
      </c>
      <c r="C22" t="s">
        <v>67</v>
      </c>
      <c r="D22">
        <v>37</v>
      </c>
      <c r="E22" t="s">
        <v>84</v>
      </c>
      <c r="F22" t="s">
        <v>18</v>
      </c>
    </row>
    <row r="23" spans="1:6" x14ac:dyDescent="0.25">
      <c r="A23" t="s">
        <v>52</v>
      </c>
      <c r="B23" t="s">
        <v>103</v>
      </c>
      <c r="C23" t="s">
        <v>70</v>
      </c>
      <c r="D23">
        <v>31</v>
      </c>
      <c r="E23" t="s">
        <v>86</v>
      </c>
      <c r="F23" t="s">
        <v>15</v>
      </c>
    </row>
    <row r="24" spans="1:6" x14ac:dyDescent="0.25">
      <c r="A24" t="s">
        <v>53</v>
      </c>
      <c r="B24" t="s">
        <v>104</v>
      </c>
      <c r="C24" t="s">
        <v>67</v>
      </c>
      <c r="D24">
        <v>42</v>
      </c>
      <c r="E24" t="s">
        <v>73</v>
      </c>
      <c r="F24" t="s">
        <v>15</v>
      </c>
    </row>
    <row r="25" spans="1:6" x14ac:dyDescent="0.25">
      <c r="A25" t="s">
        <v>54</v>
      </c>
      <c r="B25" t="s">
        <v>105</v>
      </c>
      <c r="C25" t="s">
        <v>70</v>
      </c>
      <c r="D25">
        <v>28</v>
      </c>
      <c r="E25" t="s">
        <v>68</v>
      </c>
      <c r="F25" t="s">
        <v>9</v>
      </c>
    </row>
    <row r="26" spans="1:6" x14ac:dyDescent="0.25">
      <c r="A26" t="s">
        <v>55</v>
      </c>
      <c r="B26" t="s">
        <v>106</v>
      </c>
      <c r="C26" t="s">
        <v>67</v>
      </c>
      <c r="D26">
        <v>36</v>
      </c>
      <c r="E26" t="s">
        <v>81</v>
      </c>
      <c r="F26" t="s">
        <v>25</v>
      </c>
    </row>
    <row r="27" spans="1:6" x14ac:dyDescent="0.25">
      <c r="A27" t="s">
        <v>56</v>
      </c>
      <c r="B27" t="s">
        <v>107</v>
      </c>
      <c r="C27" t="s">
        <v>70</v>
      </c>
      <c r="D27">
        <v>27</v>
      </c>
      <c r="E27" t="s">
        <v>108</v>
      </c>
      <c r="F27" t="s">
        <v>25</v>
      </c>
    </row>
    <row r="28" spans="1:6" x14ac:dyDescent="0.25">
      <c r="A28" t="s">
        <v>58</v>
      </c>
      <c r="B28" t="s">
        <v>109</v>
      </c>
      <c r="C28" t="s">
        <v>67</v>
      </c>
      <c r="D28">
        <v>40</v>
      </c>
      <c r="E28" t="s">
        <v>110</v>
      </c>
      <c r="F28" t="s">
        <v>18</v>
      </c>
    </row>
    <row r="29" spans="1:6" x14ac:dyDescent="0.25">
      <c r="A29" t="s">
        <v>59</v>
      </c>
      <c r="B29" t="s">
        <v>111</v>
      </c>
      <c r="C29" t="s">
        <v>70</v>
      </c>
      <c r="D29">
        <v>33</v>
      </c>
      <c r="E29" t="s">
        <v>112</v>
      </c>
      <c r="F29" t="s">
        <v>12</v>
      </c>
    </row>
    <row r="30" spans="1:6" x14ac:dyDescent="0.25">
      <c r="A30" t="s">
        <v>60</v>
      </c>
      <c r="B30" t="s">
        <v>113</v>
      </c>
      <c r="C30" t="s">
        <v>67</v>
      </c>
      <c r="D30">
        <v>35</v>
      </c>
      <c r="E30" t="s">
        <v>75</v>
      </c>
      <c r="F30" t="s">
        <v>18</v>
      </c>
    </row>
    <row r="31" spans="1:6" x14ac:dyDescent="0.25">
      <c r="A31" t="s">
        <v>61</v>
      </c>
      <c r="B31" t="s">
        <v>114</v>
      </c>
      <c r="C31" t="s">
        <v>70</v>
      </c>
      <c r="D31">
        <v>26</v>
      </c>
      <c r="E31" t="s">
        <v>115</v>
      </c>
      <c r="F3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D85A-0D43-40A9-A0B8-66E24B442BDA}">
  <dimension ref="A1:B6"/>
  <sheetViews>
    <sheetView workbookViewId="0">
      <selection activeCell="D5" sqref="D5"/>
    </sheetView>
  </sheetViews>
  <sheetFormatPr defaultRowHeight="15" x14ac:dyDescent="0.25"/>
  <cols>
    <col min="1" max="1" width="11.42578125" customWidth="1"/>
    <col min="2" max="2" width="14.7109375" customWidth="1"/>
  </cols>
  <sheetData>
    <row r="1" spans="1:2" x14ac:dyDescent="0.25">
      <c r="A1" t="s">
        <v>6</v>
      </c>
      <c r="B1" t="s">
        <v>116</v>
      </c>
    </row>
    <row r="2" spans="1:2" x14ac:dyDescent="0.25">
      <c r="A2" t="s">
        <v>9</v>
      </c>
      <c r="B2" t="s">
        <v>68</v>
      </c>
    </row>
    <row r="3" spans="1:2" x14ac:dyDescent="0.25">
      <c r="A3" t="s">
        <v>12</v>
      </c>
      <c r="B3" t="s">
        <v>117</v>
      </c>
    </row>
    <row r="4" spans="1:2" x14ac:dyDescent="0.25">
      <c r="A4" t="s">
        <v>15</v>
      </c>
      <c r="B4" t="s">
        <v>118</v>
      </c>
    </row>
    <row r="5" spans="1:2" x14ac:dyDescent="0.25">
      <c r="A5" t="s">
        <v>18</v>
      </c>
      <c r="B5" t="s">
        <v>119</v>
      </c>
    </row>
    <row r="6" spans="1:2" x14ac:dyDescent="0.25">
      <c r="A6" t="s">
        <v>25</v>
      </c>
      <c r="B6" t="s">
        <v>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8894-8C28-4129-A815-04BE198FA8AF}">
  <dimension ref="A1:D21"/>
  <sheetViews>
    <sheetView workbookViewId="0">
      <selection activeCell="G9" sqref="G9"/>
    </sheetView>
  </sheetViews>
  <sheetFormatPr defaultRowHeight="15" x14ac:dyDescent="0.25"/>
  <cols>
    <col min="1" max="1" width="12.140625" customWidth="1"/>
    <col min="2" max="2" width="15.42578125" customWidth="1"/>
    <col min="3" max="3" width="14.28515625" bestFit="1" customWidth="1"/>
    <col min="4" max="4" width="13" style="4" bestFit="1" customWidth="1"/>
  </cols>
  <sheetData>
    <row r="1" spans="1:4" x14ac:dyDescent="0.25">
      <c r="A1" t="s">
        <v>3</v>
      </c>
      <c r="B1" t="s">
        <v>121</v>
      </c>
      <c r="C1" t="s">
        <v>122</v>
      </c>
      <c r="D1" s="4" t="s">
        <v>5</v>
      </c>
    </row>
    <row r="2" spans="1:4" x14ac:dyDescent="0.25">
      <c r="A2" t="s">
        <v>8</v>
      </c>
      <c r="B2" t="s">
        <v>123</v>
      </c>
      <c r="C2" t="s">
        <v>124</v>
      </c>
      <c r="D2" s="4">
        <v>25.99</v>
      </c>
    </row>
    <row r="3" spans="1:4" x14ac:dyDescent="0.25">
      <c r="A3" t="s">
        <v>14</v>
      </c>
      <c r="B3" t="s">
        <v>125</v>
      </c>
      <c r="C3" t="s">
        <v>126</v>
      </c>
      <c r="D3" s="4">
        <v>15.5</v>
      </c>
    </row>
    <row r="4" spans="1:4" x14ac:dyDescent="0.25">
      <c r="A4" t="s">
        <v>11</v>
      </c>
      <c r="B4" t="s">
        <v>127</v>
      </c>
      <c r="C4" t="s">
        <v>124</v>
      </c>
      <c r="D4" s="4">
        <v>199.99</v>
      </c>
    </row>
    <row r="5" spans="1:4" x14ac:dyDescent="0.25">
      <c r="A5" t="s">
        <v>17</v>
      </c>
      <c r="B5" t="s">
        <v>128</v>
      </c>
      <c r="C5" t="s">
        <v>129</v>
      </c>
      <c r="D5" s="4">
        <v>89.99</v>
      </c>
    </row>
    <row r="6" spans="1:4" x14ac:dyDescent="0.25">
      <c r="A6" t="s">
        <v>20</v>
      </c>
      <c r="B6" t="s">
        <v>130</v>
      </c>
      <c r="C6" t="s">
        <v>131</v>
      </c>
      <c r="D6" s="4">
        <v>9.99</v>
      </c>
    </row>
    <row r="7" spans="1:4" x14ac:dyDescent="0.25">
      <c r="A7" t="s">
        <v>22</v>
      </c>
      <c r="B7" t="s">
        <v>132</v>
      </c>
      <c r="C7" t="s">
        <v>129</v>
      </c>
      <c r="D7" s="4">
        <v>49.99</v>
      </c>
    </row>
    <row r="8" spans="1:4" x14ac:dyDescent="0.25">
      <c r="A8" t="s">
        <v>57</v>
      </c>
      <c r="B8" t="s">
        <v>133</v>
      </c>
      <c r="C8" t="s">
        <v>124</v>
      </c>
      <c r="D8" s="4">
        <v>45.99</v>
      </c>
    </row>
    <row r="9" spans="1:4" x14ac:dyDescent="0.25">
      <c r="A9" t="s">
        <v>24</v>
      </c>
      <c r="B9" t="s">
        <v>134</v>
      </c>
      <c r="C9" t="s">
        <v>124</v>
      </c>
      <c r="D9" s="4">
        <v>149.99</v>
      </c>
    </row>
    <row r="10" spans="1:4" x14ac:dyDescent="0.25">
      <c r="A10" t="s">
        <v>27</v>
      </c>
      <c r="B10" t="s">
        <v>135</v>
      </c>
      <c r="C10" t="s">
        <v>131</v>
      </c>
      <c r="D10" s="4">
        <v>12.99</v>
      </c>
    </row>
    <row r="11" spans="1:4" x14ac:dyDescent="0.25">
      <c r="A11" t="s">
        <v>29</v>
      </c>
      <c r="B11" t="s">
        <v>136</v>
      </c>
      <c r="C11" t="s">
        <v>137</v>
      </c>
      <c r="D11" s="4">
        <v>39.99</v>
      </c>
    </row>
    <row r="12" spans="1:4" x14ac:dyDescent="0.25">
      <c r="A12" t="s">
        <v>31</v>
      </c>
      <c r="B12" t="s">
        <v>138</v>
      </c>
      <c r="C12" t="s">
        <v>126</v>
      </c>
      <c r="D12" s="4">
        <v>5.99</v>
      </c>
    </row>
    <row r="13" spans="1:4" x14ac:dyDescent="0.25">
      <c r="A13" t="s">
        <v>33</v>
      </c>
      <c r="B13" t="s">
        <v>139</v>
      </c>
      <c r="C13" t="s">
        <v>124</v>
      </c>
      <c r="D13" s="4">
        <v>299.99</v>
      </c>
    </row>
    <row r="14" spans="1:4" x14ac:dyDescent="0.25">
      <c r="A14" t="s">
        <v>35</v>
      </c>
      <c r="B14" t="s">
        <v>140</v>
      </c>
      <c r="C14" t="s">
        <v>124</v>
      </c>
      <c r="D14" s="4">
        <v>129.99</v>
      </c>
    </row>
    <row r="15" spans="1:4" x14ac:dyDescent="0.25">
      <c r="A15" t="s">
        <v>37</v>
      </c>
      <c r="B15" t="s">
        <v>141</v>
      </c>
      <c r="C15" t="s">
        <v>142</v>
      </c>
      <c r="D15" s="4">
        <v>19.989999999999998</v>
      </c>
    </row>
    <row r="16" spans="1:4" x14ac:dyDescent="0.25">
      <c r="A16" t="s">
        <v>39</v>
      </c>
      <c r="B16" t="s">
        <v>143</v>
      </c>
      <c r="C16" t="s">
        <v>124</v>
      </c>
      <c r="D16" s="4">
        <v>79.989999999999995</v>
      </c>
    </row>
    <row r="17" spans="1:4" x14ac:dyDescent="0.25">
      <c r="A17" t="s">
        <v>41</v>
      </c>
      <c r="B17" t="s">
        <v>144</v>
      </c>
      <c r="C17" t="s">
        <v>129</v>
      </c>
      <c r="D17" s="4">
        <v>399.99</v>
      </c>
    </row>
    <row r="18" spans="1:4" x14ac:dyDescent="0.25">
      <c r="A18" t="s">
        <v>43</v>
      </c>
      <c r="B18" t="s">
        <v>145</v>
      </c>
      <c r="C18" t="s">
        <v>126</v>
      </c>
      <c r="D18" s="4">
        <v>3.99</v>
      </c>
    </row>
    <row r="19" spans="1:4" x14ac:dyDescent="0.25">
      <c r="A19" t="s">
        <v>45</v>
      </c>
      <c r="B19" t="s">
        <v>146</v>
      </c>
      <c r="C19" t="s">
        <v>137</v>
      </c>
      <c r="D19" s="4">
        <v>29.99</v>
      </c>
    </row>
    <row r="20" spans="1:4" x14ac:dyDescent="0.25">
      <c r="A20" t="s">
        <v>47</v>
      </c>
      <c r="B20" t="s">
        <v>147</v>
      </c>
      <c r="C20" t="s">
        <v>124</v>
      </c>
      <c r="D20" s="4">
        <v>59.99</v>
      </c>
    </row>
    <row r="21" spans="1:4" x14ac:dyDescent="0.25">
      <c r="A21" t="s">
        <v>49</v>
      </c>
      <c r="B21" t="s">
        <v>148</v>
      </c>
      <c r="C21" t="s">
        <v>124</v>
      </c>
      <c r="D21" s="4">
        <v>14.99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4D9E-4083-4B04-B2A4-F600F648DEC6}">
  <dimension ref="A1:N592"/>
  <sheetViews>
    <sheetView workbookViewId="0">
      <selection activeCell="D20" sqref="D20"/>
    </sheetView>
  </sheetViews>
  <sheetFormatPr defaultRowHeight="15" x14ac:dyDescent="0.25"/>
  <cols>
    <col min="1" max="1" width="10.28515625" style="3" customWidth="1"/>
    <col min="2" max="2" width="12.7109375" bestFit="1" customWidth="1"/>
    <col min="3" max="3" width="14.140625" customWidth="1"/>
    <col min="4" max="4" width="12.140625" customWidth="1"/>
    <col min="5" max="5" width="10.85546875" style="3" customWidth="1"/>
    <col min="6" max="6" width="11.42578125" style="4" customWidth="1"/>
    <col min="7" max="7" width="11.42578125" customWidth="1"/>
    <col min="10" max="10" width="11.28515625" bestFit="1" customWidth="1"/>
    <col min="11" max="11" width="18.42578125" bestFit="1" customWidth="1"/>
    <col min="12" max="12" width="19.85546875" bestFit="1" customWidth="1"/>
    <col min="13" max="13" width="16.85546875" bestFit="1" customWidth="1"/>
    <col min="14" max="14" width="14.85546875" bestFit="1" customWidth="1"/>
  </cols>
  <sheetData>
    <row r="1" spans="1:14" x14ac:dyDescent="0.25">
      <c r="A1" s="3" t="s">
        <v>0</v>
      </c>
      <c r="B1" t="s">
        <v>1</v>
      </c>
      <c r="C1" t="s">
        <v>2</v>
      </c>
      <c r="D1" t="s">
        <v>3</v>
      </c>
      <c r="E1" s="3" t="s">
        <v>4</v>
      </c>
      <c r="F1" s="4" t="s">
        <v>5</v>
      </c>
      <c r="G1" t="s">
        <v>6</v>
      </c>
      <c r="H1" t="s">
        <v>150</v>
      </c>
      <c r="I1" t="s">
        <v>151</v>
      </c>
      <c r="J1" t="s">
        <v>149</v>
      </c>
      <c r="K1" t="s">
        <v>62</v>
      </c>
      <c r="L1" t="s">
        <v>121</v>
      </c>
      <c r="M1" t="s">
        <v>152</v>
      </c>
      <c r="N1" t="s">
        <v>116</v>
      </c>
    </row>
    <row r="2" spans="1:14" x14ac:dyDescent="0.25">
      <c r="A2" s="3">
        <v>1001</v>
      </c>
      <c r="B2" s="1">
        <v>45659</v>
      </c>
      <c r="C2" t="s">
        <v>7</v>
      </c>
      <c r="D2" t="s">
        <v>8</v>
      </c>
      <c r="E2" s="3">
        <v>2</v>
      </c>
      <c r="F2" s="4">
        <f>_xlfn.XLOOKUP(Orders[[#This Row],[ProductID]],Products!A:A,Products!D:D)</f>
        <v>25.99</v>
      </c>
      <c r="G2" t="s">
        <v>9</v>
      </c>
      <c r="H2" t="str">
        <f>TEXT(Orders[[#This Row],[OrderDate]],"mmm")</f>
        <v>Jan</v>
      </c>
      <c r="I2" s="2">
        <f>YEAR(Orders[[#This Row],[OrderDate]])</f>
        <v>2025</v>
      </c>
      <c r="J2" s="4">
        <f>Orders[[#This Row],[Quantity]]*Orders[[#This Row],[UnitPrice]]</f>
        <v>51.98</v>
      </c>
      <c r="K2" s="4" t="str">
        <f>_xlfn.XLOOKUP(Orders[[#This Row],[CustomerID]],'Customers'!A:A,'Customers'!B:B)</f>
        <v>James Smith</v>
      </c>
      <c r="L2" s="4" t="str">
        <f>_xlfn.XLOOKUP(Orders[[#This Row],[ProductID]],Products!A:A,Products!B:B)</f>
        <v>Wireless Mouse</v>
      </c>
      <c r="M2" s="4" t="str">
        <f>_xlfn.XLOOKUP(Orders[[#This Row],[ProductID]],Products!A:A,Products!C:C)</f>
        <v>Electronics</v>
      </c>
      <c r="N2" s="4" t="str">
        <f>_xlfn.XLOOKUP(Orders[[#This Row],[RegionID]],'Regions'!A:A,'Regions'!B:B)</f>
        <v>London</v>
      </c>
    </row>
    <row r="3" spans="1:14" x14ac:dyDescent="0.25">
      <c r="A3" s="3">
        <v>1002</v>
      </c>
      <c r="B3" s="1">
        <v>45660</v>
      </c>
      <c r="C3" t="s">
        <v>10</v>
      </c>
      <c r="D3" t="s">
        <v>11</v>
      </c>
      <c r="E3" s="3">
        <v>1</v>
      </c>
      <c r="F3" s="4">
        <f>_xlfn.XLOOKUP(Orders[[#This Row],[ProductID]],Products!A:A,Products!D:D)</f>
        <v>199.99</v>
      </c>
      <c r="G3" t="s">
        <v>12</v>
      </c>
      <c r="H3" t="str">
        <f>TEXT(Orders[[#This Row],[OrderDate]],"mmm")</f>
        <v>Jan</v>
      </c>
      <c r="I3" s="2">
        <f>YEAR(Orders[[#This Row],[OrderDate]])</f>
        <v>2025</v>
      </c>
      <c r="J3" s="4">
        <f>Orders[[#This Row],[Quantity]]*Orders[[#This Row],[UnitPrice]]</f>
        <v>199.99</v>
      </c>
      <c r="K3" s="4" t="str">
        <f>_xlfn.XLOOKUP(Orders[[#This Row],[CustomerID]],'Customers'!A:A,'Customers'!B:B)</f>
        <v>Emily Johnson</v>
      </c>
      <c r="L3" s="4" t="str">
        <f>_xlfn.XLOOKUP(Orders[[#This Row],[ProductID]],Products!A:A,Products!B:B)</f>
        <v>Smartphone</v>
      </c>
      <c r="M3" s="4" t="str">
        <f>_xlfn.XLOOKUP(Orders[[#This Row],[ProductID]],Products!A:A,Products!C:C)</f>
        <v>Electronics</v>
      </c>
      <c r="N3" s="4" t="str">
        <f>_xlfn.XLOOKUP(Orders[[#This Row],[RegionID]],'Regions'!A:A,'Regions'!B:B)</f>
        <v>North West</v>
      </c>
    </row>
    <row r="4" spans="1:14" x14ac:dyDescent="0.25">
      <c r="A4" s="3">
        <v>1003</v>
      </c>
      <c r="B4" s="1">
        <v>45661</v>
      </c>
      <c r="C4" t="s">
        <v>13</v>
      </c>
      <c r="D4" t="s">
        <v>14</v>
      </c>
      <c r="E4" s="3">
        <v>5</v>
      </c>
      <c r="F4" s="4">
        <f>_xlfn.XLOOKUP(Orders[[#This Row],[ProductID]],Products!A:A,Products!D:D)</f>
        <v>15.5</v>
      </c>
      <c r="G4" t="s">
        <v>15</v>
      </c>
      <c r="H4" t="str">
        <f>TEXT(Orders[[#This Row],[OrderDate]],"mmm")</f>
        <v>Jan</v>
      </c>
      <c r="I4" s="2">
        <f>YEAR(Orders[[#This Row],[OrderDate]])</f>
        <v>2025</v>
      </c>
      <c r="J4" s="4">
        <f>Orders[[#This Row],[Quantity]]*Orders[[#This Row],[UnitPrice]]</f>
        <v>77.5</v>
      </c>
      <c r="K4" s="4" t="str">
        <f>_xlfn.XLOOKUP(Orders[[#This Row],[CustomerID]],'Customers'!A:A,'Customers'!B:B)</f>
        <v>Oliver Brown</v>
      </c>
      <c r="L4" s="4" t="str">
        <f>_xlfn.XLOOKUP(Orders[[#This Row],[ProductID]],Products!A:A,Products!B:B)</f>
        <v>Notebook</v>
      </c>
      <c r="M4" s="4" t="str">
        <f>_xlfn.XLOOKUP(Orders[[#This Row],[ProductID]],Products!A:A,Products!C:C)</f>
        <v>Stationery</v>
      </c>
      <c r="N4" s="4" t="str">
        <f>_xlfn.XLOOKUP(Orders[[#This Row],[RegionID]],'Regions'!A:A,'Regions'!B:B)</f>
        <v>Midlands</v>
      </c>
    </row>
    <row r="5" spans="1:14" x14ac:dyDescent="0.25">
      <c r="A5" s="3">
        <v>1004</v>
      </c>
      <c r="B5" s="1">
        <v>45662</v>
      </c>
      <c r="C5" t="s">
        <v>16</v>
      </c>
      <c r="D5" t="s">
        <v>17</v>
      </c>
      <c r="E5" s="3">
        <v>1</v>
      </c>
      <c r="F5" s="4">
        <f>_xlfn.XLOOKUP(Orders[[#This Row],[ProductID]],Products!A:A,Products!D:D)</f>
        <v>89.99</v>
      </c>
      <c r="G5" t="s">
        <v>18</v>
      </c>
      <c r="H5" t="str">
        <f>TEXT(Orders[[#This Row],[OrderDate]],"mmm")</f>
        <v>Jan</v>
      </c>
      <c r="I5" s="2">
        <f>YEAR(Orders[[#This Row],[OrderDate]])</f>
        <v>2025</v>
      </c>
      <c r="J5" s="4">
        <f>Orders[[#This Row],[Quantity]]*Orders[[#This Row],[UnitPrice]]</f>
        <v>89.99</v>
      </c>
      <c r="K5" s="4" t="str">
        <f>_xlfn.XLOOKUP(Orders[[#This Row],[CustomerID]],'Customers'!A:A,'Customers'!B:B)</f>
        <v>Sophia Williams</v>
      </c>
      <c r="L5" s="4" t="str">
        <f>_xlfn.XLOOKUP(Orders[[#This Row],[ProductID]],Products!A:A,Products!B:B)</f>
        <v>Office Chair</v>
      </c>
      <c r="M5" s="4" t="str">
        <f>_xlfn.XLOOKUP(Orders[[#This Row],[ProductID]],Products!A:A,Products!C:C)</f>
        <v>Furniture</v>
      </c>
      <c r="N5" s="4" t="str">
        <f>_xlfn.XLOOKUP(Orders[[#This Row],[RegionID]],'Regions'!A:A,'Regions'!B:B)</f>
        <v>Yorkshire</v>
      </c>
    </row>
    <row r="6" spans="1:14" x14ac:dyDescent="0.25">
      <c r="A6" s="3">
        <v>1005</v>
      </c>
      <c r="B6" s="1">
        <v>45663</v>
      </c>
      <c r="C6" t="s">
        <v>19</v>
      </c>
      <c r="D6" t="s">
        <v>20</v>
      </c>
      <c r="E6" s="3">
        <v>3</v>
      </c>
      <c r="F6" s="4">
        <f>_xlfn.XLOOKUP(Orders[[#This Row],[ProductID]],Products!A:A,Products!D:D)</f>
        <v>9.99</v>
      </c>
      <c r="G6" t="s">
        <v>12</v>
      </c>
      <c r="H6" t="str">
        <f>TEXT(Orders[[#This Row],[OrderDate]],"mmm")</f>
        <v>Jan</v>
      </c>
      <c r="I6" s="2">
        <f>YEAR(Orders[[#This Row],[OrderDate]])</f>
        <v>2025</v>
      </c>
      <c r="J6" s="4">
        <f>Orders[[#This Row],[Quantity]]*Orders[[#This Row],[UnitPrice]]</f>
        <v>29.97</v>
      </c>
      <c r="K6" s="4" t="str">
        <f>_xlfn.XLOOKUP(Orders[[#This Row],[CustomerID]],'Customers'!A:A,'Customers'!B:B)</f>
        <v>Harry Jones</v>
      </c>
      <c r="L6" s="4" t="str">
        <f>_xlfn.XLOOKUP(Orders[[#This Row],[ProductID]],Products!A:A,Products!B:B)</f>
        <v>Coffee Mug</v>
      </c>
      <c r="M6" s="4" t="str">
        <f>_xlfn.XLOOKUP(Orders[[#This Row],[ProductID]],Products!A:A,Products!C:C)</f>
        <v>Home</v>
      </c>
      <c r="N6" s="4" t="str">
        <f>_xlfn.XLOOKUP(Orders[[#This Row],[RegionID]],'Regions'!A:A,'Regions'!B:B)</f>
        <v>North West</v>
      </c>
    </row>
    <row r="7" spans="1:14" x14ac:dyDescent="0.25">
      <c r="A7" s="3">
        <v>1006</v>
      </c>
      <c r="B7" s="1">
        <v>45664</v>
      </c>
      <c r="C7" t="s">
        <v>21</v>
      </c>
      <c r="D7" t="s">
        <v>22</v>
      </c>
      <c r="E7" s="3">
        <v>2</v>
      </c>
      <c r="F7" s="4">
        <f>_xlfn.XLOOKUP(Orders[[#This Row],[ProductID]],Products!A:A,Products!D:D)</f>
        <v>49.99</v>
      </c>
      <c r="G7" t="s">
        <v>15</v>
      </c>
      <c r="H7" t="str">
        <f>TEXT(Orders[[#This Row],[OrderDate]],"mmm")</f>
        <v>Jan</v>
      </c>
      <c r="I7" s="2">
        <f>YEAR(Orders[[#This Row],[OrderDate]])</f>
        <v>2025</v>
      </c>
      <c r="J7" s="4">
        <f>Orders[[#This Row],[Quantity]]*Orders[[#This Row],[UnitPrice]]</f>
        <v>99.98</v>
      </c>
      <c r="K7" s="4" t="str">
        <f>_xlfn.XLOOKUP(Orders[[#This Row],[CustomerID]],'Customers'!A:A,'Customers'!B:B)</f>
        <v>Amelia Taylor</v>
      </c>
      <c r="L7" s="4" t="str">
        <f>_xlfn.XLOOKUP(Orders[[#This Row],[ProductID]],Products!A:A,Products!B:B)</f>
        <v>Desk Lamp</v>
      </c>
      <c r="M7" s="4" t="str">
        <f>_xlfn.XLOOKUP(Orders[[#This Row],[ProductID]],Products!A:A,Products!C:C)</f>
        <v>Furniture</v>
      </c>
      <c r="N7" s="4" t="str">
        <f>_xlfn.XLOOKUP(Orders[[#This Row],[RegionID]],'Regions'!A:A,'Regions'!B:B)</f>
        <v>Midlands</v>
      </c>
    </row>
    <row r="8" spans="1:14" x14ac:dyDescent="0.25">
      <c r="A8" s="3">
        <v>1007</v>
      </c>
      <c r="B8" s="1">
        <v>45665</v>
      </c>
      <c r="C8" t="s">
        <v>23</v>
      </c>
      <c r="D8" t="s">
        <v>24</v>
      </c>
      <c r="E8" s="3">
        <v>1</v>
      </c>
      <c r="F8" s="4">
        <f>_xlfn.XLOOKUP(Orders[[#This Row],[ProductID]],Products!A:A,Products!D:D)</f>
        <v>149.99</v>
      </c>
      <c r="G8" t="s">
        <v>25</v>
      </c>
      <c r="H8" t="str">
        <f>TEXT(Orders[[#This Row],[OrderDate]],"mmm")</f>
        <v>Jan</v>
      </c>
      <c r="I8" s="2">
        <f>YEAR(Orders[[#This Row],[OrderDate]])</f>
        <v>2025</v>
      </c>
      <c r="J8" s="4">
        <f>Orders[[#This Row],[Quantity]]*Orders[[#This Row],[UnitPrice]]</f>
        <v>149.99</v>
      </c>
      <c r="K8" s="4" t="str">
        <f>_xlfn.XLOOKUP(Orders[[#This Row],[CustomerID]],'Customers'!A:A,'Customers'!B:B)</f>
        <v>Jack Davies</v>
      </c>
      <c r="L8" s="4" t="str">
        <f>_xlfn.XLOOKUP(Orders[[#This Row],[ProductID]],Products!A:A,Products!B:B)</f>
        <v>Monitor 24 inch</v>
      </c>
      <c r="M8" s="4" t="str">
        <f>_xlfn.XLOOKUP(Orders[[#This Row],[ProductID]],Products!A:A,Products!C:C)</f>
        <v>Electronics</v>
      </c>
      <c r="N8" s="4" t="str">
        <f>_xlfn.XLOOKUP(Orders[[#This Row],[RegionID]],'Regions'!A:A,'Regions'!B:B)</f>
        <v>Scotland</v>
      </c>
    </row>
    <row r="9" spans="1:14" x14ac:dyDescent="0.25">
      <c r="A9" s="3">
        <v>1008</v>
      </c>
      <c r="B9" s="1">
        <v>45666</v>
      </c>
      <c r="C9" t="s">
        <v>26</v>
      </c>
      <c r="D9" t="s">
        <v>27</v>
      </c>
      <c r="E9" s="3">
        <v>4</v>
      </c>
      <c r="F9" s="4">
        <f>_xlfn.XLOOKUP(Orders[[#This Row],[ProductID]],Products!A:A,Products!D:D)</f>
        <v>12.99</v>
      </c>
      <c r="G9" t="s">
        <v>9</v>
      </c>
      <c r="H9" t="str">
        <f>TEXT(Orders[[#This Row],[OrderDate]],"mmm")</f>
        <v>Jan</v>
      </c>
      <c r="I9" s="2">
        <f>YEAR(Orders[[#This Row],[OrderDate]])</f>
        <v>2025</v>
      </c>
      <c r="J9" s="4">
        <f>Orders[[#This Row],[Quantity]]*Orders[[#This Row],[UnitPrice]]</f>
        <v>51.96</v>
      </c>
      <c r="K9" s="4" t="str">
        <f>_xlfn.XLOOKUP(Orders[[#This Row],[CustomerID]],'Customers'!A:A,'Customers'!B:B)</f>
        <v>Isla Wilson</v>
      </c>
      <c r="L9" s="4" t="str">
        <f>_xlfn.XLOOKUP(Orders[[#This Row],[ProductID]],Products!A:A,Products!B:B)</f>
        <v>Water Bottle</v>
      </c>
      <c r="M9" s="4" t="str">
        <f>_xlfn.XLOOKUP(Orders[[#This Row],[ProductID]],Products!A:A,Products!C:C)</f>
        <v>Home</v>
      </c>
      <c r="N9" s="4" t="str">
        <f>_xlfn.XLOOKUP(Orders[[#This Row],[RegionID]],'Regions'!A:A,'Regions'!B:B)</f>
        <v>London</v>
      </c>
    </row>
    <row r="10" spans="1:14" x14ac:dyDescent="0.25">
      <c r="A10" s="3">
        <v>1009</v>
      </c>
      <c r="B10" s="1">
        <v>45667</v>
      </c>
      <c r="C10" t="s">
        <v>28</v>
      </c>
      <c r="D10" t="s">
        <v>29</v>
      </c>
      <c r="E10" s="3">
        <v>1</v>
      </c>
      <c r="F10" s="4">
        <f>_xlfn.XLOOKUP(Orders[[#This Row],[ProductID]],Products!A:A,Products!D:D)</f>
        <v>39.99</v>
      </c>
      <c r="G10" t="s">
        <v>18</v>
      </c>
      <c r="H10" t="str">
        <f>TEXT(Orders[[#This Row],[OrderDate]],"mmm")</f>
        <v>Jan</v>
      </c>
      <c r="I10" s="2">
        <f>YEAR(Orders[[#This Row],[OrderDate]])</f>
        <v>2025</v>
      </c>
      <c r="J10" s="4">
        <f>Orders[[#This Row],[Quantity]]*Orders[[#This Row],[UnitPrice]]</f>
        <v>39.99</v>
      </c>
      <c r="K10" s="4" t="str">
        <f>_xlfn.XLOOKUP(Orders[[#This Row],[CustomerID]],'Customers'!A:A,'Customers'!B:B)</f>
        <v>Charlie Evans</v>
      </c>
      <c r="L10" s="4" t="str">
        <f>_xlfn.XLOOKUP(Orders[[#This Row],[ProductID]],Products!A:A,Products!B:B)</f>
        <v>Backpack</v>
      </c>
      <c r="M10" s="4" t="str">
        <f>_xlfn.XLOOKUP(Orders[[#This Row],[ProductID]],Products!A:A,Products!C:C)</f>
        <v>Accessories</v>
      </c>
      <c r="N10" s="4" t="str">
        <f>_xlfn.XLOOKUP(Orders[[#This Row],[RegionID]],'Regions'!A:A,'Regions'!B:B)</f>
        <v>Yorkshire</v>
      </c>
    </row>
    <row r="11" spans="1:14" x14ac:dyDescent="0.25">
      <c r="A11" s="3">
        <v>1010</v>
      </c>
      <c r="B11" s="1">
        <v>45668</v>
      </c>
      <c r="C11" t="s">
        <v>30</v>
      </c>
      <c r="D11" t="s">
        <v>31</v>
      </c>
      <c r="E11" s="3">
        <v>6</v>
      </c>
      <c r="F11" s="4">
        <f>_xlfn.XLOOKUP(Orders[[#This Row],[ProductID]],Products!A:A,Products!D:D)</f>
        <v>5.99</v>
      </c>
      <c r="G11" t="s">
        <v>15</v>
      </c>
      <c r="H11" t="str">
        <f>TEXT(Orders[[#This Row],[OrderDate]],"mmm")</f>
        <v>Jan</v>
      </c>
      <c r="I11" s="2">
        <f>YEAR(Orders[[#This Row],[OrderDate]])</f>
        <v>2025</v>
      </c>
      <c r="J11" s="4">
        <f>Orders[[#This Row],[Quantity]]*Orders[[#This Row],[UnitPrice]]</f>
        <v>35.94</v>
      </c>
      <c r="K11" s="4" t="str">
        <f>_xlfn.XLOOKUP(Orders[[#This Row],[CustomerID]],'Customers'!A:A,'Customers'!B:B)</f>
        <v>Ava Thomas</v>
      </c>
      <c r="L11" s="4" t="str">
        <f>_xlfn.XLOOKUP(Orders[[#This Row],[ProductID]],Products!A:A,Products!B:B)</f>
        <v>Pen Set</v>
      </c>
      <c r="M11" s="4" t="str">
        <f>_xlfn.XLOOKUP(Orders[[#This Row],[ProductID]],Products!A:A,Products!C:C)</f>
        <v>Stationery</v>
      </c>
      <c r="N11" s="4" t="str">
        <f>_xlfn.XLOOKUP(Orders[[#This Row],[RegionID]],'Regions'!A:A,'Regions'!B:B)</f>
        <v>Midlands</v>
      </c>
    </row>
    <row r="12" spans="1:14" x14ac:dyDescent="0.25">
      <c r="A12" s="3">
        <v>1011</v>
      </c>
      <c r="B12" s="1">
        <v>45669</v>
      </c>
      <c r="C12" t="s">
        <v>32</v>
      </c>
      <c r="D12" t="s">
        <v>33</v>
      </c>
      <c r="E12" s="3">
        <v>1</v>
      </c>
      <c r="F12" s="4">
        <f>_xlfn.XLOOKUP(Orders[[#This Row],[ProductID]],Products!A:A,Products!D:D)</f>
        <v>299.99</v>
      </c>
      <c r="G12" t="s">
        <v>15</v>
      </c>
      <c r="H12" t="str">
        <f>TEXT(Orders[[#This Row],[OrderDate]],"mmm")</f>
        <v>Jan</v>
      </c>
      <c r="I12" s="2">
        <f>YEAR(Orders[[#This Row],[OrderDate]])</f>
        <v>2025</v>
      </c>
      <c r="J12" s="4">
        <f>Orders[[#This Row],[Quantity]]*Orders[[#This Row],[UnitPrice]]</f>
        <v>299.99</v>
      </c>
      <c r="K12" s="4" t="str">
        <f>_xlfn.XLOOKUP(Orders[[#This Row],[CustomerID]],'Customers'!A:A,'Customers'!B:B)</f>
        <v>George White</v>
      </c>
      <c r="L12" s="4" t="str">
        <f>_xlfn.XLOOKUP(Orders[[#This Row],[ProductID]],Products!A:A,Products!B:B)</f>
        <v>Tablet</v>
      </c>
      <c r="M12" s="4" t="str">
        <f>_xlfn.XLOOKUP(Orders[[#This Row],[ProductID]],Products!A:A,Products!C:C)</f>
        <v>Electronics</v>
      </c>
      <c r="N12" s="4" t="str">
        <f>_xlfn.XLOOKUP(Orders[[#This Row],[RegionID]],'Regions'!A:A,'Regions'!B:B)</f>
        <v>Midlands</v>
      </c>
    </row>
    <row r="13" spans="1:14" x14ac:dyDescent="0.25">
      <c r="A13" s="3">
        <v>1012</v>
      </c>
      <c r="B13" s="1">
        <v>45670</v>
      </c>
      <c r="C13" t="s">
        <v>34</v>
      </c>
      <c r="D13" t="s">
        <v>35</v>
      </c>
      <c r="E13" s="3">
        <v>1</v>
      </c>
      <c r="F13" s="4">
        <f>_xlfn.XLOOKUP(Orders[[#This Row],[ProductID]],Products!A:A,Products!D:D)</f>
        <v>129.99</v>
      </c>
      <c r="G13" t="s">
        <v>15</v>
      </c>
      <c r="H13" t="str">
        <f>TEXT(Orders[[#This Row],[OrderDate]],"mmm")</f>
        <v>Jan</v>
      </c>
      <c r="I13" s="2">
        <f>YEAR(Orders[[#This Row],[OrderDate]])</f>
        <v>2025</v>
      </c>
      <c r="J13" s="4">
        <f>Orders[[#This Row],[Quantity]]*Orders[[#This Row],[UnitPrice]]</f>
        <v>129.99</v>
      </c>
      <c r="K13" s="4" t="str">
        <f>_xlfn.XLOOKUP(Orders[[#This Row],[CustomerID]],'Customers'!A:A,'Customers'!B:B)</f>
        <v>Mia Harris</v>
      </c>
      <c r="L13" s="4" t="str">
        <f>_xlfn.XLOOKUP(Orders[[#This Row],[ProductID]],Products!A:A,Products!B:B)</f>
        <v>Printer</v>
      </c>
      <c r="M13" s="4" t="str">
        <f>_xlfn.XLOOKUP(Orders[[#This Row],[ProductID]],Products!A:A,Products!C:C)</f>
        <v>Electronics</v>
      </c>
      <c r="N13" s="4" t="str">
        <f>_xlfn.XLOOKUP(Orders[[#This Row],[RegionID]],'Regions'!A:A,'Regions'!B:B)</f>
        <v>Midlands</v>
      </c>
    </row>
    <row r="14" spans="1:14" x14ac:dyDescent="0.25">
      <c r="A14" s="3">
        <v>1013</v>
      </c>
      <c r="B14" s="1">
        <v>45671</v>
      </c>
      <c r="C14" t="s">
        <v>36</v>
      </c>
      <c r="D14" t="s">
        <v>37</v>
      </c>
      <c r="E14" s="3">
        <v>2</v>
      </c>
      <c r="F14" s="4">
        <f>_xlfn.XLOOKUP(Orders[[#This Row],[ProductID]],Products!A:A,Products!D:D)</f>
        <v>19.989999999999998</v>
      </c>
      <c r="G14" t="s">
        <v>12</v>
      </c>
      <c r="H14" t="str">
        <f>TEXT(Orders[[#This Row],[OrderDate]],"mmm")</f>
        <v>Jan</v>
      </c>
      <c r="I14" s="2">
        <f>YEAR(Orders[[#This Row],[OrderDate]])</f>
        <v>2025</v>
      </c>
      <c r="J14" s="4">
        <f>Orders[[#This Row],[Quantity]]*Orders[[#This Row],[UnitPrice]]</f>
        <v>39.979999999999997</v>
      </c>
      <c r="K14" s="4" t="str">
        <f>_xlfn.XLOOKUP(Orders[[#This Row],[CustomerID]],'Customers'!A:A,'Customers'!B:B)</f>
        <v>Noah Martin</v>
      </c>
      <c r="L14" s="4" t="str">
        <f>_xlfn.XLOOKUP(Orders[[#This Row],[ProductID]],Products!A:A,Products!B:B)</f>
        <v>Desk Organizer</v>
      </c>
      <c r="M14" s="4" t="str">
        <f>_xlfn.XLOOKUP(Orders[[#This Row],[ProductID]],Products!A:A,Products!C:C)</f>
        <v>Office Supplies</v>
      </c>
      <c r="N14" s="4" t="str">
        <f>_xlfn.XLOOKUP(Orders[[#This Row],[RegionID]],'Regions'!A:A,'Regions'!B:B)</f>
        <v>North West</v>
      </c>
    </row>
    <row r="15" spans="1:14" x14ac:dyDescent="0.25">
      <c r="A15" s="3">
        <v>1014</v>
      </c>
      <c r="B15" s="1">
        <v>45672</v>
      </c>
      <c r="C15" t="s">
        <v>38</v>
      </c>
      <c r="D15" t="s">
        <v>39</v>
      </c>
      <c r="E15" s="3">
        <v>1</v>
      </c>
      <c r="F15" s="4">
        <f>_xlfn.XLOOKUP(Orders[[#This Row],[ProductID]],Products!A:A,Products!D:D)</f>
        <v>79.989999999999995</v>
      </c>
      <c r="G15" t="s">
        <v>12</v>
      </c>
      <c r="H15" t="str">
        <f>TEXT(Orders[[#This Row],[OrderDate]],"mmm")</f>
        <v>Jan</v>
      </c>
      <c r="I15" s="2">
        <f>YEAR(Orders[[#This Row],[OrderDate]])</f>
        <v>2025</v>
      </c>
      <c r="J15" s="4">
        <f>Orders[[#This Row],[Quantity]]*Orders[[#This Row],[UnitPrice]]</f>
        <v>79.989999999999995</v>
      </c>
      <c r="K15" s="4" t="str">
        <f>_xlfn.XLOOKUP(Orders[[#This Row],[CustomerID]],'Customers'!A:A,'Customers'!B:B)</f>
        <v>Lily Thompson</v>
      </c>
      <c r="L15" s="4" t="str">
        <f>_xlfn.XLOOKUP(Orders[[#This Row],[ProductID]],Products!A:A,Products!B:B)</f>
        <v>Headphones</v>
      </c>
      <c r="M15" s="4" t="str">
        <f>_xlfn.XLOOKUP(Orders[[#This Row],[ProductID]],Products!A:A,Products!C:C)</f>
        <v>Electronics</v>
      </c>
      <c r="N15" s="4" t="str">
        <f>_xlfn.XLOOKUP(Orders[[#This Row],[RegionID]],'Regions'!A:A,'Regions'!B:B)</f>
        <v>North West</v>
      </c>
    </row>
    <row r="16" spans="1:14" x14ac:dyDescent="0.25">
      <c r="A16" s="3">
        <v>1015</v>
      </c>
      <c r="B16" s="1">
        <v>45673</v>
      </c>
      <c r="C16" t="s">
        <v>40</v>
      </c>
      <c r="D16" t="s">
        <v>41</v>
      </c>
      <c r="E16" s="3">
        <v>1</v>
      </c>
      <c r="F16" s="4">
        <f>_xlfn.XLOOKUP(Orders[[#This Row],[ProductID]],Products!A:A,Products!D:D)</f>
        <v>399.99</v>
      </c>
      <c r="G16" t="s">
        <v>9</v>
      </c>
      <c r="H16" t="str">
        <f>TEXT(Orders[[#This Row],[OrderDate]],"mmm")</f>
        <v>Jan</v>
      </c>
      <c r="I16" s="2">
        <f>YEAR(Orders[[#This Row],[OrderDate]])</f>
        <v>2025</v>
      </c>
      <c r="J16" s="4">
        <f>Orders[[#This Row],[Quantity]]*Orders[[#This Row],[UnitPrice]]</f>
        <v>399.99</v>
      </c>
      <c r="K16" s="4" t="str">
        <f>_xlfn.XLOOKUP(Orders[[#This Row],[CustomerID]],'Customers'!A:A,'Customers'!B:B)</f>
        <v>Oscar Garcia</v>
      </c>
      <c r="L16" s="4" t="str">
        <f>_xlfn.XLOOKUP(Orders[[#This Row],[ProductID]],Products!A:A,Products!B:B)</f>
        <v>Standing Desk</v>
      </c>
      <c r="M16" s="4" t="str">
        <f>_xlfn.XLOOKUP(Orders[[#This Row],[ProductID]],Products!A:A,Products!C:C)</f>
        <v>Furniture</v>
      </c>
      <c r="N16" s="4" t="str">
        <f>_xlfn.XLOOKUP(Orders[[#This Row],[RegionID]],'Regions'!A:A,'Regions'!B:B)</f>
        <v>London</v>
      </c>
    </row>
    <row r="17" spans="1:14" x14ac:dyDescent="0.25">
      <c r="A17" s="3">
        <v>1016</v>
      </c>
      <c r="B17" s="1">
        <v>45674</v>
      </c>
      <c r="C17" t="s">
        <v>42</v>
      </c>
      <c r="D17" t="s">
        <v>43</v>
      </c>
      <c r="E17" s="3">
        <v>5</v>
      </c>
      <c r="F17" s="4">
        <f>_xlfn.XLOOKUP(Orders[[#This Row],[ProductID]],Products!A:A,Products!D:D)</f>
        <v>3.99</v>
      </c>
      <c r="G17" t="s">
        <v>9</v>
      </c>
      <c r="H17" t="str">
        <f>TEXT(Orders[[#This Row],[OrderDate]],"mmm")</f>
        <v>Jan</v>
      </c>
      <c r="I17" s="2">
        <f>YEAR(Orders[[#This Row],[OrderDate]])</f>
        <v>2025</v>
      </c>
      <c r="J17" s="4">
        <f>Orders[[#This Row],[Quantity]]*Orders[[#This Row],[UnitPrice]]</f>
        <v>19.950000000000003</v>
      </c>
      <c r="K17" s="4" t="str">
        <f>_xlfn.XLOOKUP(Orders[[#This Row],[CustomerID]],'Customers'!A:A,'Customers'!B:B)</f>
        <v>Grace Martinez</v>
      </c>
      <c r="L17" s="4" t="str">
        <f>_xlfn.XLOOKUP(Orders[[#This Row],[ProductID]],Products!A:A,Products!B:B)</f>
        <v>Sticky Notes</v>
      </c>
      <c r="M17" s="4" t="str">
        <f>_xlfn.XLOOKUP(Orders[[#This Row],[ProductID]],Products!A:A,Products!C:C)</f>
        <v>Stationery</v>
      </c>
      <c r="N17" s="4" t="str">
        <f>_xlfn.XLOOKUP(Orders[[#This Row],[RegionID]],'Regions'!A:A,'Regions'!B:B)</f>
        <v>London</v>
      </c>
    </row>
    <row r="18" spans="1:14" x14ac:dyDescent="0.25">
      <c r="A18" s="3">
        <v>1017</v>
      </c>
      <c r="B18" s="1">
        <v>45675</v>
      </c>
      <c r="C18" t="s">
        <v>44</v>
      </c>
      <c r="D18" t="s">
        <v>45</v>
      </c>
      <c r="E18" s="3">
        <v>2</v>
      </c>
      <c r="F18" s="4">
        <f>_xlfn.XLOOKUP(Orders[[#This Row],[ProductID]],Products!A:A,Products!D:D)</f>
        <v>29.99</v>
      </c>
      <c r="G18" t="s">
        <v>15</v>
      </c>
      <c r="H18" t="str">
        <f>TEXT(Orders[[#This Row],[OrderDate]],"mmm")</f>
        <v>Jan</v>
      </c>
      <c r="I18" s="2">
        <f>YEAR(Orders[[#This Row],[OrderDate]])</f>
        <v>2025</v>
      </c>
      <c r="J18" s="4">
        <f>Orders[[#This Row],[Quantity]]*Orders[[#This Row],[UnitPrice]]</f>
        <v>59.98</v>
      </c>
      <c r="K18" s="4" t="str">
        <f>_xlfn.XLOOKUP(Orders[[#This Row],[CustomerID]],'Customers'!A:A,'Customers'!B:B)</f>
        <v>Leo Robinson</v>
      </c>
      <c r="L18" s="4" t="str">
        <f>_xlfn.XLOOKUP(Orders[[#This Row],[ProductID]],Products!A:A,Products!B:B)</f>
        <v>Laptop Stand</v>
      </c>
      <c r="M18" s="4" t="str">
        <f>_xlfn.XLOOKUP(Orders[[#This Row],[ProductID]],Products!A:A,Products!C:C)</f>
        <v>Accessories</v>
      </c>
      <c r="N18" s="4" t="str">
        <f>_xlfn.XLOOKUP(Orders[[#This Row],[RegionID]],'Regions'!A:A,'Regions'!B:B)</f>
        <v>Midlands</v>
      </c>
    </row>
    <row r="19" spans="1:14" x14ac:dyDescent="0.25">
      <c r="A19" s="3">
        <v>1018</v>
      </c>
      <c r="B19" s="1">
        <v>45676</v>
      </c>
      <c r="C19" t="s">
        <v>46</v>
      </c>
      <c r="D19" t="s">
        <v>47</v>
      </c>
      <c r="E19" s="3">
        <v>1</v>
      </c>
      <c r="F19" s="4">
        <f>_xlfn.XLOOKUP(Orders[[#This Row],[ProductID]],Products!A:A,Products!D:D)</f>
        <v>59.99</v>
      </c>
      <c r="G19" t="s">
        <v>12</v>
      </c>
      <c r="H19" t="str">
        <f>TEXT(Orders[[#This Row],[OrderDate]],"mmm")</f>
        <v>Jan</v>
      </c>
      <c r="I19" s="2">
        <f>YEAR(Orders[[#This Row],[OrderDate]])</f>
        <v>2025</v>
      </c>
      <c r="J19" s="4">
        <f>Orders[[#This Row],[Quantity]]*Orders[[#This Row],[UnitPrice]]</f>
        <v>59.99</v>
      </c>
      <c r="K19" s="4" t="str">
        <f>_xlfn.XLOOKUP(Orders[[#This Row],[CustomerID]],'Customers'!A:A,'Customers'!B:B)</f>
        <v>Chloe Clark</v>
      </c>
      <c r="L19" s="4" t="str">
        <f>_xlfn.XLOOKUP(Orders[[#This Row],[ProductID]],Products!A:A,Products!B:B)</f>
        <v>Webcam</v>
      </c>
      <c r="M19" s="4" t="str">
        <f>_xlfn.XLOOKUP(Orders[[#This Row],[ProductID]],Products!A:A,Products!C:C)</f>
        <v>Electronics</v>
      </c>
      <c r="N19" s="4" t="str">
        <f>_xlfn.XLOOKUP(Orders[[#This Row],[RegionID]],'Regions'!A:A,'Regions'!B:B)</f>
        <v>North West</v>
      </c>
    </row>
    <row r="20" spans="1:14" x14ac:dyDescent="0.25">
      <c r="A20" s="3">
        <v>1019</v>
      </c>
      <c r="B20" s="1">
        <v>45677</v>
      </c>
      <c r="C20" t="s">
        <v>48</v>
      </c>
      <c r="D20" t="s">
        <v>49</v>
      </c>
      <c r="E20" s="3">
        <v>3</v>
      </c>
      <c r="F20" s="4">
        <f>_xlfn.XLOOKUP(Orders[[#This Row],[ProductID]],Products!A:A,Products!D:D)</f>
        <v>14.99</v>
      </c>
      <c r="G20" t="s">
        <v>12</v>
      </c>
      <c r="H20" t="str">
        <f>TEXT(Orders[[#This Row],[OrderDate]],"mmm")</f>
        <v>Jan</v>
      </c>
      <c r="I20" s="2">
        <f>YEAR(Orders[[#This Row],[OrderDate]])</f>
        <v>2025</v>
      </c>
      <c r="J20" s="4">
        <f>Orders[[#This Row],[Quantity]]*Orders[[#This Row],[UnitPrice]]</f>
        <v>44.97</v>
      </c>
      <c r="K20" s="4" t="str">
        <f>_xlfn.XLOOKUP(Orders[[#This Row],[CustomerID]],'Customers'!A:A,'Customers'!B:B)</f>
        <v>Freddie Rodriguez</v>
      </c>
      <c r="L20" s="4" t="str">
        <f>_xlfn.XLOOKUP(Orders[[#This Row],[ProductID]],Products!A:A,Products!B:B)</f>
        <v>Extension Cable</v>
      </c>
      <c r="M20" s="4" t="str">
        <f>_xlfn.XLOOKUP(Orders[[#This Row],[ProductID]],Products!A:A,Products!C:C)</f>
        <v>Electronics</v>
      </c>
      <c r="N20" s="4" t="str">
        <f>_xlfn.XLOOKUP(Orders[[#This Row],[RegionID]],'Regions'!A:A,'Regions'!B:B)</f>
        <v>North West</v>
      </c>
    </row>
    <row r="21" spans="1:14" x14ac:dyDescent="0.25">
      <c r="A21" s="3">
        <v>1020</v>
      </c>
      <c r="B21" s="1">
        <v>45678</v>
      </c>
      <c r="C21" t="s">
        <v>50</v>
      </c>
      <c r="D21" t="s">
        <v>8</v>
      </c>
      <c r="E21" s="3">
        <v>2</v>
      </c>
      <c r="F21" s="4">
        <f>_xlfn.XLOOKUP(Orders[[#This Row],[ProductID]],Products!A:A,Products!D:D)</f>
        <v>25.99</v>
      </c>
      <c r="G21" t="s">
        <v>18</v>
      </c>
      <c r="H21" t="str">
        <f>TEXT(Orders[[#This Row],[OrderDate]],"mmm")</f>
        <v>Jan</v>
      </c>
      <c r="I21" s="2">
        <f>YEAR(Orders[[#This Row],[OrderDate]])</f>
        <v>2025</v>
      </c>
      <c r="J21" s="4">
        <f>Orders[[#This Row],[Quantity]]*Orders[[#This Row],[UnitPrice]]</f>
        <v>51.98</v>
      </c>
      <c r="K21" s="4" t="str">
        <f>_xlfn.XLOOKUP(Orders[[#This Row],[CustomerID]],'Customers'!A:A,'Customers'!B:B)</f>
        <v>Ella Lewis</v>
      </c>
      <c r="L21" s="4" t="str">
        <f>_xlfn.XLOOKUP(Orders[[#This Row],[ProductID]],Products!A:A,Products!B:B)</f>
        <v>Wireless Mouse</v>
      </c>
      <c r="M21" s="4" t="str">
        <f>_xlfn.XLOOKUP(Orders[[#This Row],[ProductID]],Products!A:A,Products!C:C)</f>
        <v>Electronics</v>
      </c>
      <c r="N21" s="4" t="str">
        <f>_xlfn.XLOOKUP(Orders[[#This Row],[RegionID]],'Regions'!A:A,'Regions'!B:B)</f>
        <v>Yorkshire</v>
      </c>
    </row>
    <row r="22" spans="1:14" x14ac:dyDescent="0.25">
      <c r="A22" s="3">
        <v>1021</v>
      </c>
      <c r="B22" s="1">
        <v>45689</v>
      </c>
      <c r="C22" t="s">
        <v>51</v>
      </c>
      <c r="D22" t="s">
        <v>14</v>
      </c>
      <c r="E22" s="3">
        <v>3</v>
      </c>
      <c r="F22" s="4">
        <f>_xlfn.XLOOKUP(Orders[[#This Row],[ProductID]],Products!A:A,Products!D:D)</f>
        <v>15.5</v>
      </c>
      <c r="G22" t="s">
        <v>18</v>
      </c>
      <c r="H22" t="str">
        <f>TEXT(Orders[[#This Row],[OrderDate]],"mmm")</f>
        <v>Feb</v>
      </c>
      <c r="I22" s="2">
        <f>YEAR(Orders[[#This Row],[OrderDate]])</f>
        <v>2025</v>
      </c>
      <c r="J22" s="4">
        <f>Orders[[#This Row],[Quantity]]*Orders[[#This Row],[UnitPrice]]</f>
        <v>46.5</v>
      </c>
      <c r="K22" s="4" t="str">
        <f>_xlfn.XLOOKUP(Orders[[#This Row],[CustomerID]],'Customers'!A:A,'Customers'!B:B)</f>
        <v>Alfie Lee</v>
      </c>
      <c r="L22" s="4" t="str">
        <f>_xlfn.XLOOKUP(Orders[[#This Row],[ProductID]],Products!A:A,Products!B:B)</f>
        <v>Notebook</v>
      </c>
      <c r="M22" s="4" t="str">
        <f>_xlfn.XLOOKUP(Orders[[#This Row],[ProductID]],Products!A:A,Products!C:C)</f>
        <v>Stationery</v>
      </c>
      <c r="N22" s="4" t="str">
        <f>_xlfn.XLOOKUP(Orders[[#This Row],[RegionID]],'Regions'!A:A,'Regions'!B:B)</f>
        <v>Yorkshire</v>
      </c>
    </row>
    <row r="23" spans="1:14" x14ac:dyDescent="0.25">
      <c r="A23" s="3">
        <v>1022</v>
      </c>
      <c r="B23" s="1">
        <v>45690</v>
      </c>
      <c r="C23" t="s">
        <v>52</v>
      </c>
      <c r="D23" t="s">
        <v>11</v>
      </c>
      <c r="E23" s="3">
        <v>1</v>
      </c>
      <c r="F23" s="4">
        <f>_xlfn.XLOOKUP(Orders[[#This Row],[ProductID]],Products!A:A,Products!D:D)</f>
        <v>199.99</v>
      </c>
      <c r="G23" t="s">
        <v>15</v>
      </c>
      <c r="H23" t="str">
        <f>TEXT(Orders[[#This Row],[OrderDate]],"mmm")</f>
        <v>Feb</v>
      </c>
      <c r="I23" s="2">
        <f>YEAR(Orders[[#This Row],[OrderDate]])</f>
        <v>2025</v>
      </c>
      <c r="J23" s="4">
        <f>Orders[[#This Row],[Quantity]]*Orders[[#This Row],[UnitPrice]]</f>
        <v>199.99</v>
      </c>
      <c r="K23" s="4" t="str">
        <f>_xlfn.XLOOKUP(Orders[[#This Row],[CustomerID]],'Customers'!A:A,'Customers'!B:B)</f>
        <v>Evie Walker</v>
      </c>
      <c r="L23" s="4" t="str">
        <f>_xlfn.XLOOKUP(Orders[[#This Row],[ProductID]],Products!A:A,Products!B:B)</f>
        <v>Smartphone</v>
      </c>
      <c r="M23" s="4" t="str">
        <f>_xlfn.XLOOKUP(Orders[[#This Row],[ProductID]],Products!A:A,Products!C:C)</f>
        <v>Electronics</v>
      </c>
      <c r="N23" s="4" t="str">
        <f>_xlfn.XLOOKUP(Orders[[#This Row],[RegionID]],'Regions'!A:A,'Regions'!B:B)</f>
        <v>Midlands</v>
      </c>
    </row>
    <row r="24" spans="1:14" x14ac:dyDescent="0.25">
      <c r="A24" s="3">
        <v>1023</v>
      </c>
      <c r="B24" s="1">
        <v>45691</v>
      </c>
      <c r="C24" t="s">
        <v>53</v>
      </c>
      <c r="D24" t="s">
        <v>17</v>
      </c>
      <c r="E24" s="3">
        <v>2</v>
      </c>
      <c r="F24" s="4">
        <f>_xlfn.XLOOKUP(Orders[[#This Row],[ProductID]],Products!A:A,Products!D:D)</f>
        <v>89.99</v>
      </c>
      <c r="G24" t="s">
        <v>15</v>
      </c>
      <c r="H24" t="str">
        <f>TEXT(Orders[[#This Row],[OrderDate]],"mmm")</f>
        <v>Feb</v>
      </c>
      <c r="I24" s="2">
        <f>YEAR(Orders[[#This Row],[OrderDate]])</f>
        <v>2025</v>
      </c>
      <c r="J24" s="4">
        <f>Orders[[#This Row],[Quantity]]*Orders[[#This Row],[UnitPrice]]</f>
        <v>179.98</v>
      </c>
      <c r="K24" s="4" t="str">
        <f>_xlfn.XLOOKUP(Orders[[#This Row],[CustomerID]],'Customers'!A:A,'Customers'!B:B)</f>
        <v>Arthur Hall</v>
      </c>
      <c r="L24" s="4" t="str">
        <f>_xlfn.XLOOKUP(Orders[[#This Row],[ProductID]],Products!A:A,Products!B:B)</f>
        <v>Office Chair</v>
      </c>
      <c r="M24" s="4" t="str">
        <f>_xlfn.XLOOKUP(Orders[[#This Row],[ProductID]],Products!A:A,Products!C:C)</f>
        <v>Furniture</v>
      </c>
      <c r="N24" s="4" t="str">
        <f>_xlfn.XLOOKUP(Orders[[#This Row],[RegionID]],'Regions'!A:A,'Regions'!B:B)</f>
        <v>Midlands</v>
      </c>
    </row>
    <row r="25" spans="1:14" x14ac:dyDescent="0.25">
      <c r="A25" s="3">
        <v>1024</v>
      </c>
      <c r="B25" s="1">
        <v>45692</v>
      </c>
      <c r="C25" t="s">
        <v>54</v>
      </c>
      <c r="D25" t="s">
        <v>20</v>
      </c>
      <c r="E25" s="3">
        <v>4</v>
      </c>
      <c r="F25" s="4">
        <f>_xlfn.XLOOKUP(Orders[[#This Row],[ProductID]],Products!A:A,Products!D:D)</f>
        <v>9.99</v>
      </c>
      <c r="G25" t="s">
        <v>9</v>
      </c>
      <c r="H25" t="str">
        <f>TEXT(Orders[[#This Row],[OrderDate]],"mmm")</f>
        <v>Feb</v>
      </c>
      <c r="I25" s="2">
        <f>YEAR(Orders[[#This Row],[OrderDate]])</f>
        <v>2025</v>
      </c>
      <c r="J25" s="4">
        <f>Orders[[#This Row],[Quantity]]*Orders[[#This Row],[UnitPrice]]</f>
        <v>39.96</v>
      </c>
      <c r="K25" s="4" t="str">
        <f>_xlfn.XLOOKUP(Orders[[#This Row],[CustomerID]],'Customers'!A:A,'Customers'!B:B)</f>
        <v>Isabella Allen</v>
      </c>
      <c r="L25" s="4" t="str">
        <f>_xlfn.XLOOKUP(Orders[[#This Row],[ProductID]],Products!A:A,Products!B:B)</f>
        <v>Coffee Mug</v>
      </c>
      <c r="M25" s="4" t="str">
        <f>_xlfn.XLOOKUP(Orders[[#This Row],[ProductID]],Products!A:A,Products!C:C)</f>
        <v>Home</v>
      </c>
      <c r="N25" s="4" t="str">
        <f>_xlfn.XLOOKUP(Orders[[#This Row],[RegionID]],'Regions'!A:A,'Regions'!B:B)</f>
        <v>London</v>
      </c>
    </row>
    <row r="26" spans="1:14" x14ac:dyDescent="0.25">
      <c r="A26" s="3">
        <v>1025</v>
      </c>
      <c r="B26" s="1">
        <v>45693</v>
      </c>
      <c r="C26" t="s">
        <v>55</v>
      </c>
      <c r="D26" t="s">
        <v>22</v>
      </c>
      <c r="E26" s="3">
        <v>1</v>
      </c>
      <c r="F26" s="4">
        <f>_xlfn.XLOOKUP(Orders[[#This Row],[ProductID]],Products!A:A,Products!D:D)</f>
        <v>49.99</v>
      </c>
      <c r="G26" t="s">
        <v>25</v>
      </c>
      <c r="H26" t="str">
        <f>TEXT(Orders[[#This Row],[OrderDate]],"mmm")</f>
        <v>Feb</v>
      </c>
      <c r="I26" s="2">
        <f>YEAR(Orders[[#This Row],[OrderDate]])</f>
        <v>2025</v>
      </c>
      <c r="J26" s="4">
        <f>Orders[[#This Row],[Quantity]]*Orders[[#This Row],[UnitPrice]]</f>
        <v>49.99</v>
      </c>
      <c r="K26" s="4" t="str">
        <f>_xlfn.XLOOKUP(Orders[[#This Row],[CustomerID]],'Customers'!A:A,'Customers'!B:B)</f>
        <v>Theo Young</v>
      </c>
      <c r="L26" s="4" t="str">
        <f>_xlfn.XLOOKUP(Orders[[#This Row],[ProductID]],Products!A:A,Products!B:B)</f>
        <v>Desk Lamp</v>
      </c>
      <c r="M26" s="4" t="str">
        <f>_xlfn.XLOOKUP(Orders[[#This Row],[ProductID]],Products!A:A,Products!C:C)</f>
        <v>Furniture</v>
      </c>
      <c r="N26" s="4" t="str">
        <f>_xlfn.XLOOKUP(Orders[[#This Row],[RegionID]],'Regions'!A:A,'Regions'!B:B)</f>
        <v>Scotland</v>
      </c>
    </row>
    <row r="27" spans="1:14" x14ac:dyDescent="0.25">
      <c r="A27" s="3">
        <v>1026</v>
      </c>
      <c r="B27" s="1">
        <v>45694</v>
      </c>
      <c r="C27" t="s">
        <v>56</v>
      </c>
      <c r="D27" t="s">
        <v>57</v>
      </c>
      <c r="E27" s="3">
        <v>2</v>
      </c>
      <c r="F27" s="4">
        <f>_xlfn.XLOOKUP(Orders[[#This Row],[ProductID]],Products!A:A,Products!D:D)</f>
        <v>45.99</v>
      </c>
      <c r="G27" t="s">
        <v>25</v>
      </c>
      <c r="H27" t="str">
        <f>TEXT(Orders[[#This Row],[OrderDate]],"mmm")</f>
        <v>Feb</v>
      </c>
      <c r="I27" s="2">
        <f>YEAR(Orders[[#This Row],[OrderDate]])</f>
        <v>2025</v>
      </c>
      <c r="J27" s="4">
        <f>Orders[[#This Row],[Quantity]]*Orders[[#This Row],[UnitPrice]]</f>
        <v>91.98</v>
      </c>
      <c r="K27" s="4" t="str">
        <f>_xlfn.XLOOKUP(Orders[[#This Row],[CustomerID]],'Customers'!A:A,'Customers'!B:B)</f>
        <v>Poppy King</v>
      </c>
      <c r="L27" s="4" t="str">
        <f>_xlfn.XLOOKUP(Orders[[#This Row],[ProductID]],Products!A:A,Products!B:B)</f>
        <v>Bluetooth Keyboard</v>
      </c>
      <c r="M27" s="4" t="str">
        <f>_xlfn.XLOOKUP(Orders[[#This Row],[ProductID]],Products!A:A,Products!C:C)</f>
        <v>Electronics</v>
      </c>
      <c r="N27" s="4" t="str">
        <f>_xlfn.XLOOKUP(Orders[[#This Row],[RegionID]],'Regions'!A:A,'Regions'!B:B)</f>
        <v>Scotland</v>
      </c>
    </row>
    <row r="28" spans="1:14" x14ac:dyDescent="0.25">
      <c r="A28" s="3">
        <v>1027</v>
      </c>
      <c r="B28" s="1">
        <v>45695</v>
      </c>
      <c r="C28" t="s">
        <v>58</v>
      </c>
      <c r="D28" t="s">
        <v>24</v>
      </c>
      <c r="E28" s="3">
        <v>1</v>
      </c>
      <c r="F28" s="4">
        <f>_xlfn.XLOOKUP(Orders[[#This Row],[ProductID]],Products!A:A,Products!D:D)</f>
        <v>149.99</v>
      </c>
      <c r="G28" t="s">
        <v>18</v>
      </c>
      <c r="H28" t="str">
        <f>TEXT(Orders[[#This Row],[OrderDate]],"mmm")</f>
        <v>Feb</v>
      </c>
      <c r="I28" s="2">
        <f>YEAR(Orders[[#This Row],[OrderDate]])</f>
        <v>2025</v>
      </c>
      <c r="J28" s="4">
        <f>Orders[[#This Row],[Quantity]]*Orders[[#This Row],[UnitPrice]]</f>
        <v>149.99</v>
      </c>
      <c r="K28" s="4" t="str">
        <f>_xlfn.XLOOKUP(Orders[[#This Row],[CustomerID]],'Customers'!A:A,'Customers'!B:B)</f>
        <v>Henry Wright</v>
      </c>
      <c r="L28" s="4" t="str">
        <f>_xlfn.XLOOKUP(Orders[[#This Row],[ProductID]],Products!A:A,Products!B:B)</f>
        <v>Monitor 24 inch</v>
      </c>
      <c r="M28" s="4" t="str">
        <f>_xlfn.XLOOKUP(Orders[[#This Row],[ProductID]],Products!A:A,Products!C:C)</f>
        <v>Electronics</v>
      </c>
      <c r="N28" s="4" t="str">
        <f>_xlfn.XLOOKUP(Orders[[#This Row],[RegionID]],'Regions'!A:A,'Regions'!B:B)</f>
        <v>Yorkshire</v>
      </c>
    </row>
    <row r="29" spans="1:14" x14ac:dyDescent="0.25">
      <c r="A29" s="3">
        <v>1028</v>
      </c>
      <c r="B29" s="1">
        <v>45696</v>
      </c>
      <c r="C29" t="s">
        <v>59</v>
      </c>
      <c r="D29" t="s">
        <v>27</v>
      </c>
      <c r="E29" s="3">
        <v>3</v>
      </c>
      <c r="F29" s="4">
        <f>_xlfn.XLOOKUP(Orders[[#This Row],[ProductID]],Products!A:A,Products!D:D)</f>
        <v>12.99</v>
      </c>
      <c r="G29" t="s">
        <v>12</v>
      </c>
      <c r="H29" t="str">
        <f>TEXT(Orders[[#This Row],[OrderDate]],"mmm")</f>
        <v>Feb</v>
      </c>
      <c r="I29" s="2">
        <f>YEAR(Orders[[#This Row],[OrderDate]])</f>
        <v>2025</v>
      </c>
      <c r="J29" s="4">
        <f>Orders[[#This Row],[Quantity]]*Orders[[#This Row],[UnitPrice]]</f>
        <v>38.97</v>
      </c>
      <c r="K29" s="4" t="str">
        <f>_xlfn.XLOOKUP(Orders[[#This Row],[CustomerID]],'Customers'!A:A,'Customers'!B:B)</f>
        <v>Ruby Scott</v>
      </c>
      <c r="L29" s="4" t="str">
        <f>_xlfn.XLOOKUP(Orders[[#This Row],[ProductID]],Products!A:A,Products!B:B)</f>
        <v>Water Bottle</v>
      </c>
      <c r="M29" s="4" t="str">
        <f>_xlfn.XLOOKUP(Orders[[#This Row],[ProductID]],Products!A:A,Products!C:C)</f>
        <v>Home</v>
      </c>
      <c r="N29" s="4" t="str">
        <f>_xlfn.XLOOKUP(Orders[[#This Row],[RegionID]],'Regions'!A:A,'Regions'!B:B)</f>
        <v>North West</v>
      </c>
    </row>
    <row r="30" spans="1:14" x14ac:dyDescent="0.25">
      <c r="A30" s="3">
        <v>1029</v>
      </c>
      <c r="B30" s="1">
        <v>45697</v>
      </c>
      <c r="C30" t="s">
        <v>60</v>
      </c>
      <c r="D30" t="s">
        <v>29</v>
      </c>
      <c r="E30" s="3">
        <v>2</v>
      </c>
      <c r="F30" s="4">
        <f>_xlfn.XLOOKUP(Orders[[#This Row],[ProductID]],Products!A:A,Products!D:D)</f>
        <v>39.99</v>
      </c>
      <c r="G30" t="s">
        <v>18</v>
      </c>
      <c r="H30" t="str">
        <f>TEXT(Orders[[#This Row],[OrderDate]],"mmm")</f>
        <v>Feb</v>
      </c>
      <c r="I30" s="2">
        <f>YEAR(Orders[[#This Row],[OrderDate]])</f>
        <v>2025</v>
      </c>
      <c r="J30" s="4">
        <f>Orders[[#This Row],[Quantity]]*Orders[[#This Row],[UnitPrice]]</f>
        <v>79.98</v>
      </c>
      <c r="K30" s="4" t="str">
        <f>_xlfn.XLOOKUP(Orders[[#This Row],[CustomerID]],'Customers'!A:A,'Customers'!B:B)</f>
        <v>Jacob Green</v>
      </c>
      <c r="L30" s="4" t="str">
        <f>_xlfn.XLOOKUP(Orders[[#This Row],[ProductID]],Products!A:A,Products!B:B)</f>
        <v>Backpack</v>
      </c>
      <c r="M30" s="4" t="str">
        <f>_xlfn.XLOOKUP(Orders[[#This Row],[ProductID]],Products!A:A,Products!C:C)</f>
        <v>Accessories</v>
      </c>
      <c r="N30" s="4" t="str">
        <f>_xlfn.XLOOKUP(Orders[[#This Row],[RegionID]],'Regions'!A:A,'Regions'!B:B)</f>
        <v>Yorkshire</v>
      </c>
    </row>
    <row r="31" spans="1:14" x14ac:dyDescent="0.25">
      <c r="A31" s="3">
        <v>1030</v>
      </c>
      <c r="B31" s="1">
        <v>45698</v>
      </c>
      <c r="C31" t="s">
        <v>61</v>
      </c>
      <c r="D31" t="s">
        <v>31</v>
      </c>
      <c r="E31" s="3">
        <v>5</v>
      </c>
      <c r="F31" s="4">
        <f>_xlfn.XLOOKUP(Orders[[#This Row],[ProductID]],Products!A:A,Products!D:D)</f>
        <v>5.99</v>
      </c>
      <c r="G31" t="s">
        <v>9</v>
      </c>
      <c r="H31" t="str">
        <f>TEXT(Orders[[#This Row],[OrderDate]],"mmm")</f>
        <v>Feb</v>
      </c>
      <c r="I31" s="2">
        <f>YEAR(Orders[[#This Row],[OrderDate]])</f>
        <v>2025</v>
      </c>
      <c r="J31" s="4">
        <f>Orders[[#This Row],[Quantity]]*Orders[[#This Row],[UnitPrice]]</f>
        <v>29.950000000000003</v>
      </c>
      <c r="K31" s="4" t="str">
        <f>_xlfn.XLOOKUP(Orders[[#This Row],[CustomerID]],'Customers'!A:A,'Customers'!B:B)</f>
        <v>Sophie Adams</v>
      </c>
      <c r="L31" s="4" t="str">
        <f>_xlfn.XLOOKUP(Orders[[#This Row],[ProductID]],Products!A:A,Products!B:B)</f>
        <v>Pen Set</v>
      </c>
      <c r="M31" s="4" t="str">
        <f>_xlfn.XLOOKUP(Orders[[#This Row],[ProductID]],Products!A:A,Products!C:C)</f>
        <v>Stationery</v>
      </c>
      <c r="N31" s="4" t="str">
        <f>_xlfn.XLOOKUP(Orders[[#This Row],[RegionID]],'Regions'!A:A,'Regions'!B:B)</f>
        <v>London</v>
      </c>
    </row>
    <row r="32" spans="1:14" x14ac:dyDescent="0.25">
      <c r="A32" s="3">
        <v>1031</v>
      </c>
      <c r="B32" s="1">
        <v>45699</v>
      </c>
      <c r="C32" t="s">
        <v>7</v>
      </c>
      <c r="D32" t="s">
        <v>33</v>
      </c>
      <c r="E32" s="3">
        <v>1</v>
      </c>
      <c r="F32" s="4">
        <f>_xlfn.XLOOKUP(Orders[[#This Row],[ProductID]],Products!A:A,Products!D:D)</f>
        <v>299.99</v>
      </c>
      <c r="G32" t="s">
        <v>9</v>
      </c>
      <c r="H32" t="str">
        <f>TEXT(Orders[[#This Row],[OrderDate]],"mmm")</f>
        <v>Feb</v>
      </c>
      <c r="I32" s="2">
        <f>YEAR(Orders[[#This Row],[OrderDate]])</f>
        <v>2025</v>
      </c>
      <c r="J32" s="4">
        <f>Orders[[#This Row],[Quantity]]*Orders[[#This Row],[UnitPrice]]</f>
        <v>299.99</v>
      </c>
      <c r="K32" s="4" t="str">
        <f>_xlfn.XLOOKUP(Orders[[#This Row],[CustomerID]],'Customers'!A:A,'Customers'!B:B)</f>
        <v>James Smith</v>
      </c>
      <c r="L32" s="4" t="str">
        <f>_xlfn.XLOOKUP(Orders[[#This Row],[ProductID]],Products!A:A,Products!B:B)</f>
        <v>Tablet</v>
      </c>
      <c r="M32" s="4" t="str">
        <f>_xlfn.XLOOKUP(Orders[[#This Row],[ProductID]],Products!A:A,Products!C:C)</f>
        <v>Electronics</v>
      </c>
      <c r="N32" s="4" t="str">
        <f>_xlfn.XLOOKUP(Orders[[#This Row],[RegionID]],'Regions'!A:A,'Regions'!B:B)</f>
        <v>London</v>
      </c>
    </row>
    <row r="33" spans="1:14" x14ac:dyDescent="0.25">
      <c r="A33" s="3">
        <v>1032</v>
      </c>
      <c r="B33" s="1">
        <v>45700</v>
      </c>
      <c r="C33" t="s">
        <v>10</v>
      </c>
      <c r="D33" t="s">
        <v>35</v>
      </c>
      <c r="E33" s="3">
        <v>1</v>
      </c>
      <c r="F33" s="4">
        <f>_xlfn.XLOOKUP(Orders[[#This Row],[ProductID]],Products!A:A,Products!D:D)</f>
        <v>129.99</v>
      </c>
      <c r="G33" t="s">
        <v>12</v>
      </c>
      <c r="H33" t="str">
        <f>TEXT(Orders[[#This Row],[OrderDate]],"mmm")</f>
        <v>Feb</v>
      </c>
      <c r="I33" s="2">
        <f>YEAR(Orders[[#This Row],[OrderDate]])</f>
        <v>2025</v>
      </c>
      <c r="J33" s="4">
        <f>Orders[[#This Row],[Quantity]]*Orders[[#This Row],[UnitPrice]]</f>
        <v>129.99</v>
      </c>
      <c r="K33" s="4" t="str">
        <f>_xlfn.XLOOKUP(Orders[[#This Row],[CustomerID]],'Customers'!A:A,'Customers'!B:B)</f>
        <v>Emily Johnson</v>
      </c>
      <c r="L33" s="4" t="str">
        <f>_xlfn.XLOOKUP(Orders[[#This Row],[ProductID]],Products!A:A,Products!B:B)</f>
        <v>Printer</v>
      </c>
      <c r="M33" s="4" t="str">
        <f>_xlfn.XLOOKUP(Orders[[#This Row],[ProductID]],Products!A:A,Products!C:C)</f>
        <v>Electronics</v>
      </c>
      <c r="N33" s="4" t="str">
        <f>_xlfn.XLOOKUP(Orders[[#This Row],[RegionID]],'Regions'!A:A,'Regions'!B:B)</f>
        <v>North West</v>
      </c>
    </row>
    <row r="34" spans="1:14" x14ac:dyDescent="0.25">
      <c r="A34" s="3">
        <v>1033</v>
      </c>
      <c r="B34" s="1">
        <v>45701</v>
      </c>
      <c r="C34" t="s">
        <v>13</v>
      </c>
      <c r="D34" t="s">
        <v>37</v>
      </c>
      <c r="E34" s="3">
        <v>2</v>
      </c>
      <c r="F34" s="4">
        <f>_xlfn.XLOOKUP(Orders[[#This Row],[ProductID]],Products!A:A,Products!D:D)</f>
        <v>19.989999999999998</v>
      </c>
      <c r="G34" t="s">
        <v>15</v>
      </c>
      <c r="H34" t="str">
        <f>TEXT(Orders[[#This Row],[OrderDate]],"mmm")</f>
        <v>Feb</v>
      </c>
      <c r="I34" s="2">
        <f>YEAR(Orders[[#This Row],[OrderDate]])</f>
        <v>2025</v>
      </c>
      <c r="J34" s="4">
        <f>Orders[[#This Row],[Quantity]]*Orders[[#This Row],[UnitPrice]]</f>
        <v>39.979999999999997</v>
      </c>
      <c r="K34" s="4" t="str">
        <f>_xlfn.XLOOKUP(Orders[[#This Row],[CustomerID]],'Customers'!A:A,'Customers'!B:B)</f>
        <v>Oliver Brown</v>
      </c>
      <c r="L34" s="4" t="str">
        <f>_xlfn.XLOOKUP(Orders[[#This Row],[ProductID]],Products!A:A,Products!B:B)</f>
        <v>Desk Organizer</v>
      </c>
      <c r="M34" s="4" t="str">
        <f>_xlfn.XLOOKUP(Orders[[#This Row],[ProductID]],Products!A:A,Products!C:C)</f>
        <v>Office Supplies</v>
      </c>
      <c r="N34" s="4" t="str">
        <f>_xlfn.XLOOKUP(Orders[[#This Row],[RegionID]],'Regions'!A:A,'Regions'!B:B)</f>
        <v>Midlands</v>
      </c>
    </row>
    <row r="35" spans="1:14" x14ac:dyDescent="0.25">
      <c r="A35" s="3">
        <v>1034</v>
      </c>
      <c r="B35" s="1">
        <v>45702</v>
      </c>
      <c r="C35" t="s">
        <v>16</v>
      </c>
      <c r="D35" t="s">
        <v>39</v>
      </c>
      <c r="E35" s="3">
        <v>1</v>
      </c>
      <c r="F35" s="4">
        <f>_xlfn.XLOOKUP(Orders[[#This Row],[ProductID]],Products!A:A,Products!D:D)</f>
        <v>79.989999999999995</v>
      </c>
      <c r="G35" t="s">
        <v>18</v>
      </c>
      <c r="H35" t="str">
        <f>TEXT(Orders[[#This Row],[OrderDate]],"mmm")</f>
        <v>Feb</v>
      </c>
      <c r="I35" s="2">
        <f>YEAR(Orders[[#This Row],[OrderDate]])</f>
        <v>2025</v>
      </c>
      <c r="J35" s="4">
        <f>Orders[[#This Row],[Quantity]]*Orders[[#This Row],[UnitPrice]]</f>
        <v>79.989999999999995</v>
      </c>
      <c r="K35" s="4" t="str">
        <f>_xlfn.XLOOKUP(Orders[[#This Row],[CustomerID]],'Customers'!A:A,'Customers'!B:B)</f>
        <v>Sophia Williams</v>
      </c>
      <c r="L35" s="4" t="str">
        <f>_xlfn.XLOOKUP(Orders[[#This Row],[ProductID]],Products!A:A,Products!B:B)</f>
        <v>Headphones</v>
      </c>
      <c r="M35" s="4" t="str">
        <f>_xlfn.XLOOKUP(Orders[[#This Row],[ProductID]],Products!A:A,Products!C:C)</f>
        <v>Electronics</v>
      </c>
      <c r="N35" s="4" t="str">
        <f>_xlfn.XLOOKUP(Orders[[#This Row],[RegionID]],'Regions'!A:A,'Regions'!B:B)</f>
        <v>Yorkshire</v>
      </c>
    </row>
    <row r="36" spans="1:14" x14ac:dyDescent="0.25">
      <c r="A36" s="3">
        <v>1035</v>
      </c>
      <c r="B36" s="1">
        <v>45703</v>
      </c>
      <c r="C36" t="s">
        <v>19</v>
      </c>
      <c r="D36" t="s">
        <v>41</v>
      </c>
      <c r="E36" s="3">
        <v>1</v>
      </c>
      <c r="F36" s="4">
        <f>_xlfn.XLOOKUP(Orders[[#This Row],[ProductID]],Products!A:A,Products!D:D)</f>
        <v>399.99</v>
      </c>
      <c r="G36" t="s">
        <v>12</v>
      </c>
      <c r="H36" t="str">
        <f>TEXT(Orders[[#This Row],[OrderDate]],"mmm")</f>
        <v>Feb</v>
      </c>
      <c r="I36" s="2">
        <f>YEAR(Orders[[#This Row],[OrderDate]])</f>
        <v>2025</v>
      </c>
      <c r="J36" s="4">
        <f>Orders[[#This Row],[Quantity]]*Orders[[#This Row],[UnitPrice]]</f>
        <v>399.99</v>
      </c>
      <c r="K36" s="4" t="str">
        <f>_xlfn.XLOOKUP(Orders[[#This Row],[CustomerID]],'Customers'!A:A,'Customers'!B:B)</f>
        <v>Harry Jones</v>
      </c>
      <c r="L36" s="4" t="str">
        <f>_xlfn.XLOOKUP(Orders[[#This Row],[ProductID]],Products!A:A,Products!B:B)</f>
        <v>Standing Desk</v>
      </c>
      <c r="M36" s="4" t="str">
        <f>_xlfn.XLOOKUP(Orders[[#This Row],[ProductID]],Products!A:A,Products!C:C)</f>
        <v>Furniture</v>
      </c>
      <c r="N36" s="4" t="str">
        <f>_xlfn.XLOOKUP(Orders[[#This Row],[RegionID]],'Regions'!A:A,'Regions'!B:B)</f>
        <v>North West</v>
      </c>
    </row>
    <row r="37" spans="1:14" x14ac:dyDescent="0.25">
      <c r="A37" s="3">
        <v>1036</v>
      </c>
      <c r="B37" s="1">
        <v>45704</v>
      </c>
      <c r="C37" t="s">
        <v>21</v>
      </c>
      <c r="D37" t="s">
        <v>43</v>
      </c>
      <c r="E37" s="3">
        <v>6</v>
      </c>
      <c r="F37" s="4">
        <f>_xlfn.XLOOKUP(Orders[[#This Row],[ProductID]],Products!A:A,Products!D:D)</f>
        <v>3.99</v>
      </c>
      <c r="G37" t="s">
        <v>15</v>
      </c>
      <c r="H37" t="str">
        <f>TEXT(Orders[[#This Row],[OrderDate]],"mmm")</f>
        <v>Feb</v>
      </c>
      <c r="I37" s="2">
        <f>YEAR(Orders[[#This Row],[OrderDate]])</f>
        <v>2025</v>
      </c>
      <c r="J37" s="4">
        <f>Orders[[#This Row],[Quantity]]*Orders[[#This Row],[UnitPrice]]</f>
        <v>23.94</v>
      </c>
      <c r="K37" s="4" t="str">
        <f>_xlfn.XLOOKUP(Orders[[#This Row],[CustomerID]],'Customers'!A:A,'Customers'!B:B)</f>
        <v>Amelia Taylor</v>
      </c>
      <c r="L37" s="4" t="str">
        <f>_xlfn.XLOOKUP(Orders[[#This Row],[ProductID]],Products!A:A,Products!B:B)</f>
        <v>Sticky Notes</v>
      </c>
      <c r="M37" s="4" t="str">
        <f>_xlfn.XLOOKUP(Orders[[#This Row],[ProductID]],Products!A:A,Products!C:C)</f>
        <v>Stationery</v>
      </c>
      <c r="N37" s="4" t="str">
        <f>_xlfn.XLOOKUP(Orders[[#This Row],[RegionID]],'Regions'!A:A,'Regions'!B:B)</f>
        <v>Midlands</v>
      </c>
    </row>
    <row r="38" spans="1:14" x14ac:dyDescent="0.25">
      <c r="A38" s="3">
        <v>1037</v>
      </c>
      <c r="B38" s="1">
        <v>45705</v>
      </c>
      <c r="C38" t="s">
        <v>23</v>
      </c>
      <c r="D38" t="s">
        <v>45</v>
      </c>
      <c r="E38" s="3">
        <v>2</v>
      </c>
      <c r="F38" s="4">
        <f>_xlfn.XLOOKUP(Orders[[#This Row],[ProductID]],Products!A:A,Products!D:D)</f>
        <v>29.99</v>
      </c>
      <c r="G38" t="s">
        <v>25</v>
      </c>
      <c r="H38" t="str">
        <f>TEXT(Orders[[#This Row],[OrderDate]],"mmm")</f>
        <v>Feb</v>
      </c>
      <c r="I38" s="2">
        <f>YEAR(Orders[[#This Row],[OrderDate]])</f>
        <v>2025</v>
      </c>
      <c r="J38" s="4">
        <f>Orders[[#This Row],[Quantity]]*Orders[[#This Row],[UnitPrice]]</f>
        <v>59.98</v>
      </c>
      <c r="K38" s="4" t="str">
        <f>_xlfn.XLOOKUP(Orders[[#This Row],[CustomerID]],'Customers'!A:A,'Customers'!B:B)</f>
        <v>Jack Davies</v>
      </c>
      <c r="L38" s="4" t="str">
        <f>_xlfn.XLOOKUP(Orders[[#This Row],[ProductID]],Products!A:A,Products!B:B)</f>
        <v>Laptop Stand</v>
      </c>
      <c r="M38" s="4" t="str">
        <f>_xlfn.XLOOKUP(Orders[[#This Row],[ProductID]],Products!A:A,Products!C:C)</f>
        <v>Accessories</v>
      </c>
      <c r="N38" s="4" t="str">
        <f>_xlfn.XLOOKUP(Orders[[#This Row],[RegionID]],'Regions'!A:A,'Regions'!B:B)</f>
        <v>Scotland</v>
      </c>
    </row>
    <row r="39" spans="1:14" x14ac:dyDescent="0.25">
      <c r="A39" s="3">
        <v>1038</v>
      </c>
      <c r="B39" s="1">
        <v>45706</v>
      </c>
      <c r="C39" t="s">
        <v>26</v>
      </c>
      <c r="D39" t="s">
        <v>47</v>
      </c>
      <c r="E39" s="3">
        <v>1</v>
      </c>
      <c r="F39" s="4">
        <f>_xlfn.XLOOKUP(Orders[[#This Row],[ProductID]],Products!A:A,Products!D:D)</f>
        <v>59.99</v>
      </c>
      <c r="G39" t="s">
        <v>9</v>
      </c>
      <c r="H39" t="str">
        <f>TEXT(Orders[[#This Row],[OrderDate]],"mmm")</f>
        <v>Feb</v>
      </c>
      <c r="I39" s="2">
        <f>YEAR(Orders[[#This Row],[OrderDate]])</f>
        <v>2025</v>
      </c>
      <c r="J39" s="4">
        <f>Orders[[#This Row],[Quantity]]*Orders[[#This Row],[UnitPrice]]</f>
        <v>59.99</v>
      </c>
      <c r="K39" s="4" t="str">
        <f>_xlfn.XLOOKUP(Orders[[#This Row],[CustomerID]],'Customers'!A:A,'Customers'!B:B)</f>
        <v>Isla Wilson</v>
      </c>
      <c r="L39" s="4" t="str">
        <f>_xlfn.XLOOKUP(Orders[[#This Row],[ProductID]],Products!A:A,Products!B:B)</f>
        <v>Webcam</v>
      </c>
      <c r="M39" s="4" t="str">
        <f>_xlfn.XLOOKUP(Orders[[#This Row],[ProductID]],Products!A:A,Products!C:C)</f>
        <v>Electronics</v>
      </c>
      <c r="N39" s="4" t="str">
        <f>_xlfn.XLOOKUP(Orders[[#This Row],[RegionID]],'Regions'!A:A,'Regions'!B:B)</f>
        <v>London</v>
      </c>
    </row>
    <row r="40" spans="1:14" x14ac:dyDescent="0.25">
      <c r="A40" s="3">
        <v>1039</v>
      </c>
      <c r="B40" s="1">
        <v>45707</v>
      </c>
      <c r="C40" t="s">
        <v>28</v>
      </c>
      <c r="D40" t="s">
        <v>49</v>
      </c>
      <c r="E40" s="3">
        <v>4</v>
      </c>
      <c r="F40" s="4">
        <f>_xlfn.XLOOKUP(Orders[[#This Row],[ProductID]],Products!A:A,Products!D:D)</f>
        <v>14.99</v>
      </c>
      <c r="G40" t="s">
        <v>18</v>
      </c>
      <c r="H40" t="str">
        <f>TEXT(Orders[[#This Row],[OrderDate]],"mmm")</f>
        <v>Feb</v>
      </c>
      <c r="I40" s="2">
        <f>YEAR(Orders[[#This Row],[OrderDate]])</f>
        <v>2025</v>
      </c>
      <c r="J40" s="4">
        <f>Orders[[#This Row],[Quantity]]*Orders[[#This Row],[UnitPrice]]</f>
        <v>59.96</v>
      </c>
      <c r="K40" s="4" t="str">
        <f>_xlfn.XLOOKUP(Orders[[#This Row],[CustomerID]],'Customers'!A:A,'Customers'!B:B)</f>
        <v>Charlie Evans</v>
      </c>
      <c r="L40" s="4" t="str">
        <f>_xlfn.XLOOKUP(Orders[[#This Row],[ProductID]],Products!A:A,Products!B:B)</f>
        <v>Extension Cable</v>
      </c>
      <c r="M40" s="4" t="str">
        <f>_xlfn.XLOOKUP(Orders[[#This Row],[ProductID]],Products!A:A,Products!C:C)</f>
        <v>Electronics</v>
      </c>
      <c r="N40" s="4" t="str">
        <f>_xlfn.XLOOKUP(Orders[[#This Row],[RegionID]],'Regions'!A:A,'Regions'!B:B)</f>
        <v>Yorkshire</v>
      </c>
    </row>
    <row r="41" spans="1:14" x14ac:dyDescent="0.25">
      <c r="A41" s="3">
        <v>1040</v>
      </c>
      <c r="B41" s="1">
        <v>45708</v>
      </c>
      <c r="C41" t="s">
        <v>30</v>
      </c>
      <c r="D41" t="s">
        <v>8</v>
      </c>
      <c r="E41" s="3">
        <v>3</v>
      </c>
      <c r="F41" s="4">
        <f>_xlfn.XLOOKUP(Orders[[#This Row],[ProductID]],Products!A:A,Products!D:D)</f>
        <v>25.99</v>
      </c>
      <c r="G41" t="s">
        <v>15</v>
      </c>
      <c r="H41" t="str">
        <f>TEXT(Orders[[#This Row],[OrderDate]],"mmm")</f>
        <v>Feb</v>
      </c>
      <c r="I41" s="2">
        <f>YEAR(Orders[[#This Row],[OrderDate]])</f>
        <v>2025</v>
      </c>
      <c r="J41" s="4">
        <f>Orders[[#This Row],[Quantity]]*Orders[[#This Row],[UnitPrice]]</f>
        <v>77.97</v>
      </c>
      <c r="K41" s="4" t="str">
        <f>_xlfn.XLOOKUP(Orders[[#This Row],[CustomerID]],'Customers'!A:A,'Customers'!B:B)</f>
        <v>Ava Thomas</v>
      </c>
      <c r="L41" s="4" t="str">
        <f>_xlfn.XLOOKUP(Orders[[#This Row],[ProductID]],Products!A:A,Products!B:B)</f>
        <v>Wireless Mouse</v>
      </c>
      <c r="M41" s="4" t="str">
        <f>_xlfn.XLOOKUP(Orders[[#This Row],[ProductID]],Products!A:A,Products!C:C)</f>
        <v>Electronics</v>
      </c>
      <c r="N41" s="4" t="str">
        <f>_xlfn.XLOOKUP(Orders[[#This Row],[RegionID]],'Regions'!A:A,'Regions'!B:B)</f>
        <v>Midlands</v>
      </c>
    </row>
    <row r="42" spans="1:14" x14ac:dyDescent="0.25">
      <c r="A42" s="3">
        <v>1041</v>
      </c>
      <c r="B42" s="1">
        <v>45717</v>
      </c>
      <c r="C42" t="s">
        <v>32</v>
      </c>
      <c r="D42" t="s">
        <v>14</v>
      </c>
      <c r="E42" s="3">
        <v>2</v>
      </c>
      <c r="F42" s="4">
        <f>_xlfn.XLOOKUP(Orders[[#This Row],[ProductID]],Products!A:A,Products!D:D)</f>
        <v>15.5</v>
      </c>
      <c r="G42" t="s">
        <v>15</v>
      </c>
      <c r="H42" t="str">
        <f>TEXT(Orders[[#This Row],[OrderDate]],"mmm")</f>
        <v>Mar</v>
      </c>
      <c r="I42" s="2">
        <f>YEAR(Orders[[#This Row],[OrderDate]])</f>
        <v>2025</v>
      </c>
      <c r="J42" s="4">
        <f>Orders[[#This Row],[Quantity]]*Orders[[#This Row],[UnitPrice]]</f>
        <v>31</v>
      </c>
      <c r="K42" s="4" t="str">
        <f>_xlfn.XLOOKUP(Orders[[#This Row],[CustomerID]],'Customers'!A:A,'Customers'!B:B)</f>
        <v>George White</v>
      </c>
      <c r="L42" s="4" t="str">
        <f>_xlfn.XLOOKUP(Orders[[#This Row],[ProductID]],Products!A:A,Products!B:B)</f>
        <v>Notebook</v>
      </c>
      <c r="M42" s="4" t="str">
        <f>_xlfn.XLOOKUP(Orders[[#This Row],[ProductID]],Products!A:A,Products!C:C)</f>
        <v>Stationery</v>
      </c>
      <c r="N42" s="4" t="str">
        <f>_xlfn.XLOOKUP(Orders[[#This Row],[RegionID]],'Regions'!A:A,'Regions'!B:B)</f>
        <v>Midlands</v>
      </c>
    </row>
    <row r="43" spans="1:14" x14ac:dyDescent="0.25">
      <c r="A43" s="3">
        <v>1042</v>
      </c>
      <c r="B43" s="1">
        <v>45718</v>
      </c>
      <c r="C43" t="s">
        <v>34</v>
      </c>
      <c r="D43" t="s">
        <v>11</v>
      </c>
      <c r="E43" s="3">
        <v>1</v>
      </c>
      <c r="F43" s="4">
        <f>_xlfn.XLOOKUP(Orders[[#This Row],[ProductID]],Products!A:A,Products!D:D)</f>
        <v>199.99</v>
      </c>
      <c r="G43" t="s">
        <v>15</v>
      </c>
      <c r="H43" t="str">
        <f>TEXT(Orders[[#This Row],[OrderDate]],"mmm")</f>
        <v>Mar</v>
      </c>
      <c r="I43" s="2">
        <f>YEAR(Orders[[#This Row],[OrderDate]])</f>
        <v>2025</v>
      </c>
      <c r="J43" s="4">
        <f>Orders[[#This Row],[Quantity]]*Orders[[#This Row],[UnitPrice]]</f>
        <v>199.99</v>
      </c>
      <c r="K43" s="4" t="str">
        <f>_xlfn.XLOOKUP(Orders[[#This Row],[CustomerID]],'Customers'!A:A,'Customers'!B:B)</f>
        <v>Mia Harris</v>
      </c>
      <c r="L43" s="4" t="str">
        <f>_xlfn.XLOOKUP(Orders[[#This Row],[ProductID]],Products!A:A,Products!B:B)</f>
        <v>Smartphone</v>
      </c>
      <c r="M43" s="4" t="str">
        <f>_xlfn.XLOOKUP(Orders[[#This Row],[ProductID]],Products!A:A,Products!C:C)</f>
        <v>Electronics</v>
      </c>
      <c r="N43" s="4" t="str">
        <f>_xlfn.XLOOKUP(Orders[[#This Row],[RegionID]],'Regions'!A:A,'Regions'!B:B)</f>
        <v>Midlands</v>
      </c>
    </row>
    <row r="44" spans="1:14" x14ac:dyDescent="0.25">
      <c r="A44" s="3">
        <v>1043</v>
      </c>
      <c r="B44" s="1">
        <v>45719</v>
      </c>
      <c r="C44" t="s">
        <v>36</v>
      </c>
      <c r="D44" t="s">
        <v>17</v>
      </c>
      <c r="E44" s="3">
        <v>1</v>
      </c>
      <c r="F44" s="4">
        <f>_xlfn.XLOOKUP(Orders[[#This Row],[ProductID]],Products!A:A,Products!D:D)</f>
        <v>89.99</v>
      </c>
      <c r="G44" t="s">
        <v>12</v>
      </c>
      <c r="H44" t="str">
        <f>TEXT(Orders[[#This Row],[OrderDate]],"mmm")</f>
        <v>Mar</v>
      </c>
      <c r="I44" s="2">
        <f>YEAR(Orders[[#This Row],[OrderDate]])</f>
        <v>2025</v>
      </c>
      <c r="J44" s="4">
        <f>Orders[[#This Row],[Quantity]]*Orders[[#This Row],[UnitPrice]]</f>
        <v>89.99</v>
      </c>
      <c r="K44" s="4" t="str">
        <f>_xlfn.XLOOKUP(Orders[[#This Row],[CustomerID]],'Customers'!A:A,'Customers'!B:B)</f>
        <v>Noah Martin</v>
      </c>
      <c r="L44" s="4" t="str">
        <f>_xlfn.XLOOKUP(Orders[[#This Row],[ProductID]],Products!A:A,Products!B:B)</f>
        <v>Office Chair</v>
      </c>
      <c r="M44" s="4" t="str">
        <f>_xlfn.XLOOKUP(Orders[[#This Row],[ProductID]],Products!A:A,Products!C:C)</f>
        <v>Furniture</v>
      </c>
      <c r="N44" s="4" t="str">
        <f>_xlfn.XLOOKUP(Orders[[#This Row],[RegionID]],'Regions'!A:A,'Regions'!B:B)</f>
        <v>North West</v>
      </c>
    </row>
    <row r="45" spans="1:14" x14ac:dyDescent="0.25">
      <c r="A45" s="3">
        <v>1044</v>
      </c>
      <c r="B45" s="1">
        <v>45720</v>
      </c>
      <c r="C45" t="s">
        <v>38</v>
      </c>
      <c r="D45" t="s">
        <v>20</v>
      </c>
      <c r="E45" s="3">
        <v>5</v>
      </c>
      <c r="F45" s="4">
        <f>_xlfn.XLOOKUP(Orders[[#This Row],[ProductID]],Products!A:A,Products!D:D)</f>
        <v>9.99</v>
      </c>
      <c r="G45" t="s">
        <v>12</v>
      </c>
      <c r="H45" t="str">
        <f>TEXT(Orders[[#This Row],[OrderDate]],"mmm")</f>
        <v>Mar</v>
      </c>
      <c r="I45" s="2">
        <f>YEAR(Orders[[#This Row],[OrderDate]])</f>
        <v>2025</v>
      </c>
      <c r="J45" s="4">
        <f>Orders[[#This Row],[Quantity]]*Orders[[#This Row],[UnitPrice]]</f>
        <v>49.95</v>
      </c>
      <c r="K45" s="4" t="str">
        <f>_xlfn.XLOOKUP(Orders[[#This Row],[CustomerID]],'Customers'!A:A,'Customers'!B:B)</f>
        <v>Lily Thompson</v>
      </c>
      <c r="L45" s="4" t="str">
        <f>_xlfn.XLOOKUP(Orders[[#This Row],[ProductID]],Products!A:A,Products!B:B)</f>
        <v>Coffee Mug</v>
      </c>
      <c r="M45" s="4" t="str">
        <f>_xlfn.XLOOKUP(Orders[[#This Row],[ProductID]],Products!A:A,Products!C:C)</f>
        <v>Home</v>
      </c>
      <c r="N45" s="4" t="str">
        <f>_xlfn.XLOOKUP(Orders[[#This Row],[RegionID]],'Regions'!A:A,'Regions'!B:B)</f>
        <v>North West</v>
      </c>
    </row>
    <row r="46" spans="1:14" x14ac:dyDescent="0.25">
      <c r="A46" s="3">
        <v>1045</v>
      </c>
      <c r="B46" s="1">
        <v>45721</v>
      </c>
      <c r="C46" t="s">
        <v>40</v>
      </c>
      <c r="D46" t="s">
        <v>22</v>
      </c>
      <c r="E46" s="3">
        <v>2</v>
      </c>
      <c r="F46" s="4">
        <f>_xlfn.XLOOKUP(Orders[[#This Row],[ProductID]],Products!A:A,Products!D:D)</f>
        <v>49.99</v>
      </c>
      <c r="G46" t="s">
        <v>9</v>
      </c>
      <c r="H46" t="str">
        <f>TEXT(Orders[[#This Row],[OrderDate]],"mmm")</f>
        <v>Mar</v>
      </c>
      <c r="I46" s="2">
        <f>YEAR(Orders[[#This Row],[OrderDate]])</f>
        <v>2025</v>
      </c>
      <c r="J46" s="4">
        <f>Orders[[#This Row],[Quantity]]*Orders[[#This Row],[UnitPrice]]</f>
        <v>99.98</v>
      </c>
      <c r="K46" s="4" t="str">
        <f>_xlfn.XLOOKUP(Orders[[#This Row],[CustomerID]],'Customers'!A:A,'Customers'!B:B)</f>
        <v>Oscar Garcia</v>
      </c>
      <c r="L46" s="4" t="str">
        <f>_xlfn.XLOOKUP(Orders[[#This Row],[ProductID]],Products!A:A,Products!B:B)</f>
        <v>Desk Lamp</v>
      </c>
      <c r="M46" s="4" t="str">
        <f>_xlfn.XLOOKUP(Orders[[#This Row],[ProductID]],Products!A:A,Products!C:C)</f>
        <v>Furniture</v>
      </c>
      <c r="N46" s="4" t="str">
        <f>_xlfn.XLOOKUP(Orders[[#This Row],[RegionID]],'Regions'!A:A,'Regions'!B:B)</f>
        <v>London</v>
      </c>
    </row>
    <row r="47" spans="1:14" x14ac:dyDescent="0.25">
      <c r="A47" s="3">
        <v>1046</v>
      </c>
      <c r="B47" s="1">
        <v>45722</v>
      </c>
      <c r="C47" t="s">
        <v>42</v>
      </c>
      <c r="D47" t="s">
        <v>57</v>
      </c>
      <c r="E47" s="3">
        <v>1</v>
      </c>
      <c r="F47" s="4">
        <f>_xlfn.XLOOKUP(Orders[[#This Row],[ProductID]],Products!A:A,Products!D:D)</f>
        <v>45.99</v>
      </c>
      <c r="G47" t="s">
        <v>9</v>
      </c>
      <c r="H47" t="str">
        <f>TEXT(Orders[[#This Row],[OrderDate]],"mmm")</f>
        <v>Mar</v>
      </c>
      <c r="I47" s="2">
        <f>YEAR(Orders[[#This Row],[OrderDate]])</f>
        <v>2025</v>
      </c>
      <c r="J47" s="4">
        <f>Orders[[#This Row],[Quantity]]*Orders[[#This Row],[UnitPrice]]</f>
        <v>45.99</v>
      </c>
      <c r="K47" s="4" t="str">
        <f>_xlfn.XLOOKUP(Orders[[#This Row],[CustomerID]],'Customers'!A:A,'Customers'!B:B)</f>
        <v>Grace Martinez</v>
      </c>
      <c r="L47" s="4" t="str">
        <f>_xlfn.XLOOKUP(Orders[[#This Row],[ProductID]],Products!A:A,Products!B:B)</f>
        <v>Bluetooth Keyboard</v>
      </c>
      <c r="M47" s="4" t="str">
        <f>_xlfn.XLOOKUP(Orders[[#This Row],[ProductID]],Products!A:A,Products!C:C)</f>
        <v>Electronics</v>
      </c>
      <c r="N47" s="4" t="str">
        <f>_xlfn.XLOOKUP(Orders[[#This Row],[RegionID]],'Regions'!A:A,'Regions'!B:B)</f>
        <v>London</v>
      </c>
    </row>
    <row r="48" spans="1:14" x14ac:dyDescent="0.25">
      <c r="A48" s="3">
        <v>1047</v>
      </c>
      <c r="B48" s="1">
        <v>45723</v>
      </c>
      <c r="C48" t="s">
        <v>44</v>
      </c>
      <c r="D48" t="s">
        <v>24</v>
      </c>
      <c r="E48" s="3">
        <v>1</v>
      </c>
      <c r="F48" s="4">
        <f>_xlfn.XLOOKUP(Orders[[#This Row],[ProductID]],Products!A:A,Products!D:D)</f>
        <v>149.99</v>
      </c>
      <c r="G48" t="s">
        <v>15</v>
      </c>
      <c r="H48" t="str">
        <f>TEXT(Orders[[#This Row],[OrderDate]],"mmm")</f>
        <v>Mar</v>
      </c>
      <c r="I48" s="2">
        <f>YEAR(Orders[[#This Row],[OrderDate]])</f>
        <v>2025</v>
      </c>
      <c r="J48" s="4">
        <f>Orders[[#This Row],[Quantity]]*Orders[[#This Row],[UnitPrice]]</f>
        <v>149.99</v>
      </c>
      <c r="K48" s="4" t="str">
        <f>_xlfn.XLOOKUP(Orders[[#This Row],[CustomerID]],'Customers'!A:A,'Customers'!B:B)</f>
        <v>Leo Robinson</v>
      </c>
      <c r="L48" s="4" t="str">
        <f>_xlfn.XLOOKUP(Orders[[#This Row],[ProductID]],Products!A:A,Products!B:B)</f>
        <v>Monitor 24 inch</v>
      </c>
      <c r="M48" s="4" t="str">
        <f>_xlfn.XLOOKUP(Orders[[#This Row],[ProductID]],Products!A:A,Products!C:C)</f>
        <v>Electronics</v>
      </c>
      <c r="N48" s="4" t="str">
        <f>_xlfn.XLOOKUP(Orders[[#This Row],[RegionID]],'Regions'!A:A,'Regions'!B:B)</f>
        <v>Midlands</v>
      </c>
    </row>
    <row r="49" spans="1:14" x14ac:dyDescent="0.25">
      <c r="A49" s="3">
        <v>1048</v>
      </c>
      <c r="B49" s="1">
        <v>45724</v>
      </c>
      <c r="C49" t="s">
        <v>46</v>
      </c>
      <c r="D49" t="s">
        <v>27</v>
      </c>
      <c r="E49" s="3">
        <v>3</v>
      </c>
      <c r="F49" s="4">
        <f>_xlfn.XLOOKUP(Orders[[#This Row],[ProductID]],Products!A:A,Products!D:D)</f>
        <v>12.99</v>
      </c>
      <c r="G49" t="s">
        <v>12</v>
      </c>
      <c r="H49" t="str">
        <f>TEXT(Orders[[#This Row],[OrderDate]],"mmm")</f>
        <v>Mar</v>
      </c>
      <c r="I49" s="2">
        <f>YEAR(Orders[[#This Row],[OrderDate]])</f>
        <v>2025</v>
      </c>
      <c r="J49" s="4">
        <f>Orders[[#This Row],[Quantity]]*Orders[[#This Row],[UnitPrice]]</f>
        <v>38.97</v>
      </c>
      <c r="K49" s="4" t="str">
        <f>_xlfn.XLOOKUP(Orders[[#This Row],[CustomerID]],'Customers'!A:A,'Customers'!B:B)</f>
        <v>Chloe Clark</v>
      </c>
      <c r="L49" s="4" t="str">
        <f>_xlfn.XLOOKUP(Orders[[#This Row],[ProductID]],Products!A:A,Products!B:B)</f>
        <v>Water Bottle</v>
      </c>
      <c r="M49" s="4" t="str">
        <f>_xlfn.XLOOKUP(Orders[[#This Row],[ProductID]],Products!A:A,Products!C:C)</f>
        <v>Home</v>
      </c>
      <c r="N49" s="4" t="str">
        <f>_xlfn.XLOOKUP(Orders[[#This Row],[RegionID]],'Regions'!A:A,'Regions'!B:B)</f>
        <v>North West</v>
      </c>
    </row>
    <row r="50" spans="1:14" x14ac:dyDescent="0.25">
      <c r="A50" s="3">
        <v>1049</v>
      </c>
      <c r="B50" s="1">
        <v>45725</v>
      </c>
      <c r="C50" t="s">
        <v>48</v>
      </c>
      <c r="D50" t="s">
        <v>29</v>
      </c>
      <c r="E50" s="3">
        <v>2</v>
      </c>
      <c r="F50" s="4">
        <f>_xlfn.XLOOKUP(Orders[[#This Row],[ProductID]],Products!A:A,Products!D:D)</f>
        <v>39.99</v>
      </c>
      <c r="G50" t="s">
        <v>12</v>
      </c>
      <c r="H50" t="str">
        <f>TEXT(Orders[[#This Row],[OrderDate]],"mmm")</f>
        <v>Mar</v>
      </c>
      <c r="I50" s="2">
        <f>YEAR(Orders[[#This Row],[OrderDate]])</f>
        <v>2025</v>
      </c>
      <c r="J50" s="4">
        <f>Orders[[#This Row],[Quantity]]*Orders[[#This Row],[UnitPrice]]</f>
        <v>79.98</v>
      </c>
      <c r="K50" s="4" t="str">
        <f>_xlfn.XLOOKUP(Orders[[#This Row],[CustomerID]],'Customers'!A:A,'Customers'!B:B)</f>
        <v>Freddie Rodriguez</v>
      </c>
      <c r="L50" s="4" t="str">
        <f>_xlfn.XLOOKUP(Orders[[#This Row],[ProductID]],Products!A:A,Products!B:B)</f>
        <v>Backpack</v>
      </c>
      <c r="M50" s="4" t="str">
        <f>_xlfn.XLOOKUP(Orders[[#This Row],[ProductID]],Products!A:A,Products!C:C)</f>
        <v>Accessories</v>
      </c>
      <c r="N50" s="4" t="str">
        <f>_xlfn.XLOOKUP(Orders[[#This Row],[RegionID]],'Regions'!A:A,'Regions'!B:B)</f>
        <v>North West</v>
      </c>
    </row>
    <row r="51" spans="1:14" x14ac:dyDescent="0.25">
      <c r="A51" s="3">
        <v>1050</v>
      </c>
      <c r="B51" s="1">
        <v>45726</v>
      </c>
      <c r="C51" t="s">
        <v>50</v>
      </c>
      <c r="D51" t="s">
        <v>31</v>
      </c>
      <c r="E51" s="3">
        <v>4</v>
      </c>
      <c r="F51" s="4">
        <f>_xlfn.XLOOKUP(Orders[[#This Row],[ProductID]],Products!A:A,Products!D:D)</f>
        <v>5.99</v>
      </c>
      <c r="G51" t="s">
        <v>18</v>
      </c>
      <c r="H51" t="str">
        <f>TEXT(Orders[[#This Row],[OrderDate]],"mmm")</f>
        <v>Mar</v>
      </c>
      <c r="I51" s="2">
        <f>YEAR(Orders[[#This Row],[OrderDate]])</f>
        <v>2025</v>
      </c>
      <c r="J51" s="4">
        <f>Orders[[#This Row],[Quantity]]*Orders[[#This Row],[UnitPrice]]</f>
        <v>23.96</v>
      </c>
      <c r="K51" s="4" t="str">
        <f>_xlfn.XLOOKUP(Orders[[#This Row],[CustomerID]],'Customers'!A:A,'Customers'!B:B)</f>
        <v>Ella Lewis</v>
      </c>
      <c r="L51" s="4" t="str">
        <f>_xlfn.XLOOKUP(Orders[[#This Row],[ProductID]],Products!A:A,Products!B:B)</f>
        <v>Pen Set</v>
      </c>
      <c r="M51" s="4" t="str">
        <f>_xlfn.XLOOKUP(Orders[[#This Row],[ProductID]],Products!A:A,Products!C:C)</f>
        <v>Stationery</v>
      </c>
      <c r="N51" s="4" t="str">
        <f>_xlfn.XLOOKUP(Orders[[#This Row],[RegionID]],'Regions'!A:A,'Regions'!B:B)</f>
        <v>Yorkshire</v>
      </c>
    </row>
    <row r="52" spans="1:14" x14ac:dyDescent="0.25">
      <c r="A52" s="3">
        <v>1051</v>
      </c>
      <c r="B52" s="1">
        <v>45727</v>
      </c>
      <c r="C52" t="s">
        <v>51</v>
      </c>
      <c r="D52" t="s">
        <v>33</v>
      </c>
      <c r="E52" s="3">
        <v>1</v>
      </c>
      <c r="F52" s="4">
        <f>_xlfn.XLOOKUP(Orders[[#This Row],[ProductID]],Products!A:A,Products!D:D)</f>
        <v>299.99</v>
      </c>
      <c r="G52" t="s">
        <v>18</v>
      </c>
      <c r="H52" t="str">
        <f>TEXT(Orders[[#This Row],[OrderDate]],"mmm")</f>
        <v>Mar</v>
      </c>
      <c r="I52" s="2">
        <f>YEAR(Orders[[#This Row],[OrderDate]])</f>
        <v>2025</v>
      </c>
      <c r="J52" s="4">
        <f>Orders[[#This Row],[Quantity]]*Orders[[#This Row],[UnitPrice]]</f>
        <v>299.99</v>
      </c>
      <c r="K52" s="4" t="str">
        <f>_xlfn.XLOOKUP(Orders[[#This Row],[CustomerID]],'Customers'!A:A,'Customers'!B:B)</f>
        <v>Alfie Lee</v>
      </c>
      <c r="L52" s="4" t="str">
        <f>_xlfn.XLOOKUP(Orders[[#This Row],[ProductID]],Products!A:A,Products!B:B)</f>
        <v>Tablet</v>
      </c>
      <c r="M52" s="4" t="str">
        <f>_xlfn.XLOOKUP(Orders[[#This Row],[ProductID]],Products!A:A,Products!C:C)</f>
        <v>Electronics</v>
      </c>
      <c r="N52" s="4" t="str">
        <f>_xlfn.XLOOKUP(Orders[[#This Row],[RegionID]],'Regions'!A:A,'Regions'!B:B)</f>
        <v>Yorkshire</v>
      </c>
    </row>
    <row r="53" spans="1:14" x14ac:dyDescent="0.25">
      <c r="A53" s="3">
        <v>1052</v>
      </c>
      <c r="B53" s="1">
        <v>45728</v>
      </c>
      <c r="C53" t="s">
        <v>52</v>
      </c>
      <c r="D53" t="s">
        <v>35</v>
      </c>
      <c r="E53" s="3">
        <v>1</v>
      </c>
      <c r="F53" s="4">
        <f>_xlfn.XLOOKUP(Orders[[#This Row],[ProductID]],Products!A:A,Products!D:D)</f>
        <v>129.99</v>
      </c>
      <c r="G53" t="s">
        <v>15</v>
      </c>
      <c r="H53" t="str">
        <f>TEXT(Orders[[#This Row],[OrderDate]],"mmm")</f>
        <v>Mar</v>
      </c>
      <c r="I53" s="2">
        <f>YEAR(Orders[[#This Row],[OrderDate]])</f>
        <v>2025</v>
      </c>
      <c r="J53" s="4">
        <f>Orders[[#This Row],[Quantity]]*Orders[[#This Row],[UnitPrice]]</f>
        <v>129.99</v>
      </c>
      <c r="K53" s="4" t="str">
        <f>_xlfn.XLOOKUP(Orders[[#This Row],[CustomerID]],'Customers'!A:A,'Customers'!B:B)</f>
        <v>Evie Walker</v>
      </c>
      <c r="L53" s="4" t="str">
        <f>_xlfn.XLOOKUP(Orders[[#This Row],[ProductID]],Products!A:A,Products!B:B)</f>
        <v>Printer</v>
      </c>
      <c r="M53" s="4" t="str">
        <f>_xlfn.XLOOKUP(Orders[[#This Row],[ProductID]],Products!A:A,Products!C:C)</f>
        <v>Electronics</v>
      </c>
      <c r="N53" s="4" t="str">
        <f>_xlfn.XLOOKUP(Orders[[#This Row],[RegionID]],'Regions'!A:A,'Regions'!B:B)</f>
        <v>Midlands</v>
      </c>
    </row>
    <row r="54" spans="1:14" x14ac:dyDescent="0.25">
      <c r="A54" s="3">
        <v>1053</v>
      </c>
      <c r="B54" s="1">
        <v>45729</v>
      </c>
      <c r="C54" t="s">
        <v>53</v>
      </c>
      <c r="D54" t="s">
        <v>37</v>
      </c>
      <c r="E54" s="3">
        <v>3</v>
      </c>
      <c r="F54" s="4">
        <f>_xlfn.XLOOKUP(Orders[[#This Row],[ProductID]],Products!A:A,Products!D:D)</f>
        <v>19.989999999999998</v>
      </c>
      <c r="G54" t="s">
        <v>15</v>
      </c>
      <c r="H54" t="str">
        <f>TEXT(Orders[[#This Row],[OrderDate]],"mmm")</f>
        <v>Mar</v>
      </c>
      <c r="I54" s="2">
        <f>YEAR(Orders[[#This Row],[OrderDate]])</f>
        <v>2025</v>
      </c>
      <c r="J54" s="4">
        <f>Orders[[#This Row],[Quantity]]*Orders[[#This Row],[UnitPrice]]</f>
        <v>59.97</v>
      </c>
      <c r="K54" s="4" t="str">
        <f>_xlfn.XLOOKUP(Orders[[#This Row],[CustomerID]],'Customers'!A:A,'Customers'!B:B)</f>
        <v>Arthur Hall</v>
      </c>
      <c r="L54" s="4" t="str">
        <f>_xlfn.XLOOKUP(Orders[[#This Row],[ProductID]],Products!A:A,Products!B:B)</f>
        <v>Desk Organizer</v>
      </c>
      <c r="M54" s="4" t="str">
        <f>_xlfn.XLOOKUP(Orders[[#This Row],[ProductID]],Products!A:A,Products!C:C)</f>
        <v>Office Supplies</v>
      </c>
      <c r="N54" s="4" t="str">
        <f>_xlfn.XLOOKUP(Orders[[#This Row],[RegionID]],'Regions'!A:A,'Regions'!B:B)</f>
        <v>Midlands</v>
      </c>
    </row>
    <row r="55" spans="1:14" x14ac:dyDescent="0.25">
      <c r="A55" s="3">
        <v>1054</v>
      </c>
      <c r="B55" s="1">
        <v>45730</v>
      </c>
      <c r="C55" t="s">
        <v>54</v>
      </c>
      <c r="D55" t="s">
        <v>39</v>
      </c>
      <c r="E55" s="3">
        <v>2</v>
      </c>
      <c r="F55" s="4">
        <f>_xlfn.XLOOKUP(Orders[[#This Row],[ProductID]],Products!A:A,Products!D:D)</f>
        <v>79.989999999999995</v>
      </c>
      <c r="G55" t="s">
        <v>9</v>
      </c>
      <c r="H55" t="str">
        <f>TEXT(Orders[[#This Row],[OrderDate]],"mmm")</f>
        <v>Mar</v>
      </c>
      <c r="I55" s="2">
        <f>YEAR(Orders[[#This Row],[OrderDate]])</f>
        <v>2025</v>
      </c>
      <c r="J55" s="4">
        <f>Orders[[#This Row],[Quantity]]*Orders[[#This Row],[UnitPrice]]</f>
        <v>159.97999999999999</v>
      </c>
      <c r="K55" s="4" t="str">
        <f>_xlfn.XLOOKUP(Orders[[#This Row],[CustomerID]],'Customers'!A:A,'Customers'!B:B)</f>
        <v>Isabella Allen</v>
      </c>
      <c r="L55" s="4" t="str">
        <f>_xlfn.XLOOKUP(Orders[[#This Row],[ProductID]],Products!A:A,Products!B:B)</f>
        <v>Headphones</v>
      </c>
      <c r="M55" s="4" t="str">
        <f>_xlfn.XLOOKUP(Orders[[#This Row],[ProductID]],Products!A:A,Products!C:C)</f>
        <v>Electronics</v>
      </c>
      <c r="N55" s="4" t="str">
        <f>_xlfn.XLOOKUP(Orders[[#This Row],[RegionID]],'Regions'!A:A,'Regions'!B:B)</f>
        <v>London</v>
      </c>
    </row>
    <row r="56" spans="1:14" x14ac:dyDescent="0.25">
      <c r="A56" s="3">
        <v>1055</v>
      </c>
      <c r="B56" s="1">
        <v>45731</v>
      </c>
      <c r="C56" t="s">
        <v>55</v>
      </c>
      <c r="D56" t="s">
        <v>41</v>
      </c>
      <c r="E56" s="3">
        <v>1</v>
      </c>
      <c r="F56" s="4">
        <f>_xlfn.XLOOKUP(Orders[[#This Row],[ProductID]],Products!A:A,Products!D:D)</f>
        <v>399.99</v>
      </c>
      <c r="G56" t="s">
        <v>25</v>
      </c>
      <c r="H56" t="str">
        <f>TEXT(Orders[[#This Row],[OrderDate]],"mmm")</f>
        <v>Mar</v>
      </c>
      <c r="I56" s="2">
        <f>YEAR(Orders[[#This Row],[OrderDate]])</f>
        <v>2025</v>
      </c>
      <c r="J56" s="4">
        <f>Orders[[#This Row],[Quantity]]*Orders[[#This Row],[UnitPrice]]</f>
        <v>399.99</v>
      </c>
      <c r="K56" s="4" t="str">
        <f>_xlfn.XLOOKUP(Orders[[#This Row],[CustomerID]],'Customers'!A:A,'Customers'!B:B)</f>
        <v>Theo Young</v>
      </c>
      <c r="L56" s="4" t="str">
        <f>_xlfn.XLOOKUP(Orders[[#This Row],[ProductID]],Products!A:A,Products!B:B)</f>
        <v>Standing Desk</v>
      </c>
      <c r="M56" s="4" t="str">
        <f>_xlfn.XLOOKUP(Orders[[#This Row],[ProductID]],Products!A:A,Products!C:C)</f>
        <v>Furniture</v>
      </c>
      <c r="N56" s="4" t="str">
        <f>_xlfn.XLOOKUP(Orders[[#This Row],[RegionID]],'Regions'!A:A,'Regions'!B:B)</f>
        <v>Scotland</v>
      </c>
    </row>
    <row r="57" spans="1:14" x14ac:dyDescent="0.25">
      <c r="A57" s="3">
        <v>1056</v>
      </c>
      <c r="B57" s="1">
        <v>45732</v>
      </c>
      <c r="C57" t="s">
        <v>56</v>
      </c>
      <c r="D57" t="s">
        <v>43</v>
      </c>
      <c r="E57" s="3">
        <v>4</v>
      </c>
      <c r="F57" s="4">
        <f>_xlfn.XLOOKUP(Orders[[#This Row],[ProductID]],Products!A:A,Products!D:D)</f>
        <v>3.99</v>
      </c>
      <c r="G57" t="s">
        <v>25</v>
      </c>
      <c r="H57" t="str">
        <f>TEXT(Orders[[#This Row],[OrderDate]],"mmm")</f>
        <v>Mar</v>
      </c>
      <c r="I57" s="2">
        <f>YEAR(Orders[[#This Row],[OrderDate]])</f>
        <v>2025</v>
      </c>
      <c r="J57" s="4">
        <f>Orders[[#This Row],[Quantity]]*Orders[[#This Row],[UnitPrice]]</f>
        <v>15.96</v>
      </c>
      <c r="K57" s="4" t="str">
        <f>_xlfn.XLOOKUP(Orders[[#This Row],[CustomerID]],'Customers'!A:A,'Customers'!B:B)</f>
        <v>Poppy King</v>
      </c>
      <c r="L57" s="4" t="str">
        <f>_xlfn.XLOOKUP(Orders[[#This Row],[ProductID]],Products!A:A,Products!B:B)</f>
        <v>Sticky Notes</v>
      </c>
      <c r="M57" s="4" t="str">
        <f>_xlfn.XLOOKUP(Orders[[#This Row],[ProductID]],Products!A:A,Products!C:C)</f>
        <v>Stationery</v>
      </c>
      <c r="N57" s="4" t="str">
        <f>_xlfn.XLOOKUP(Orders[[#This Row],[RegionID]],'Regions'!A:A,'Regions'!B:B)</f>
        <v>Scotland</v>
      </c>
    </row>
    <row r="58" spans="1:14" x14ac:dyDescent="0.25">
      <c r="A58" s="3">
        <v>1057</v>
      </c>
      <c r="B58" s="1">
        <v>45733</v>
      </c>
      <c r="C58" t="s">
        <v>58</v>
      </c>
      <c r="D58" t="s">
        <v>45</v>
      </c>
      <c r="E58" s="3">
        <v>2</v>
      </c>
      <c r="F58" s="4">
        <f>_xlfn.XLOOKUP(Orders[[#This Row],[ProductID]],Products!A:A,Products!D:D)</f>
        <v>29.99</v>
      </c>
      <c r="G58" t="s">
        <v>18</v>
      </c>
      <c r="H58" t="str">
        <f>TEXT(Orders[[#This Row],[OrderDate]],"mmm")</f>
        <v>Mar</v>
      </c>
      <c r="I58" s="2">
        <f>YEAR(Orders[[#This Row],[OrderDate]])</f>
        <v>2025</v>
      </c>
      <c r="J58" s="4">
        <f>Orders[[#This Row],[Quantity]]*Orders[[#This Row],[UnitPrice]]</f>
        <v>59.98</v>
      </c>
      <c r="K58" s="4" t="str">
        <f>_xlfn.XLOOKUP(Orders[[#This Row],[CustomerID]],'Customers'!A:A,'Customers'!B:B)</f>
        <v>Henry Wright</v>
      </c>
      <c r="L58" s="4" t="str">
        <f>_xlfn.XLOOKUP(Orders[[#This Row],[ProductID]],Products!A:A,Products!B:B)</f>
        <v>Laptop Stand</v>
      </c>
      <c r="M58" s="4" t="str">
        <f>_xlfn.XLOOKUP(Orders[[#This Row],[ProductID]],Products!A:A,Products!C:C)</f>
        <v>Accessories</v>
      </c>
      <c r="N58" s="4" t="str">
        <f>_xlfn.XLOOKUP(Orders[[#This Row],[RegionID]],'Regions'!A:A,'Regions'!B:B)</f>
        <v>Yorkshire</v>
      </c>
    </row>
    <row r="59" spans="1:14" x14ac:dyDescent="0.25">
      <c r="A59" s="3">
        <v>1058</v>
      </c>
      <c r="B59" s="1">
        <v>45734</v>
      </c>
      <c r="C59" t="s">
        <v>59</v>
      </c>
      <c r="D59" t="s">
        <v>47</v>
      </c>
      <c r="E59" s="3">
        <v>1</v>
      </c>
      <c r="F59" s="4">
        <f>_xlfn.XLOOKUP(Orders[[#This Row],[ProductID]],Products!A:A,Products!D:D)</f>
        <v>59.99</v>
      </c>
      <c r="G59" t="s">
        <v>12</v>
      </c>
      <c r="H59" t="str">
        <f>TEXT(Orders[[#This Row],[OrderDate]],"mmm")</f>
        <v>Mar</v>
      </c>
      <c r="I59" s="2">
        <f>YEAR(Orders[[#This Row],[OrderDate]])</f>
        <v>2025</v>
      </c>
      <c r="J59" s="4">
        <f>Orders[[#This Row],[Quantity]]*Orders[[#This Row],[UnitPrice]]</f>
        <v>59.99</v>
      </c>
      <c r="K59" s="4" t="str">
        <f>_xlfn.XLOOKUP(Orders[[#This Row],[CustomerID]],'Customers'!A:A,'Customers'!B:B)</f>
        <v>Ruby Scott</v>
      </c>
      <c r="L59" s="4" t="str">
        <f>_xlfn.XLOOKUP(Orders[[#This Row],[ProductID]],Products!A:A,Products!B:B)</f>
        <v>Webcam</v>
      </c>
      <c r="M59" s="4" t="str">
        <f>_xlfn.XLOOKUP(Orders[[#This Row],[ProductID]],Products!A:A,Products!C:C)</f>
        <v>Electronics</v>
      </c>
      <c r="N59" s="4" t="str">
        <f>_xlfn.XLOOKUP(Orders[[#This Row],[RegionID]],'Regions'!A:A,'Regions'!B:B)</f>
        <v>North West</v>
      </c>
    </row>
    <row r="60" spans="1:14" x14ac:dyDescent="0.25">
      <c r="A60" s="3">
        <v>1059</v>
      </c>
      <c r="B60" s="1">
        <v>45735</v>
      </c>
      <c r="C60" t="s">
        <v>60</v>
      </c>
      <c r="D60" t="s">
        <v>49</v>
      </c>
      <c r="E60" s="3">
        <v>5</v>
      </c>
      <c r="F60" s="4">
        <f>_xlfn.XLOOKUP(Orders[[#This Row],[ProductID]],Products!A:A,Products!D:D)</f>
        <v>14.99</v>
      </c>
      <c r="G60" t="s">
        <v>18</v>
      </c>
      <c r="H60" t="str">
        <f>TEXT(Orders[[#This Row],[OrderDate]],"mmm")</f>
        <v>Mar</v>
      </c>
      <c r="I60" s="2">
        <f>YEAR(Orders[[#This Row],[OrderDate]])</f>
        <v>2025</v>
      </c>
      <c r="J60" s="4">
        <f>Orders[[#This Row],[Quantity]]*Orders[[#This Row],[UnitPrice]]</f>
        <v>74.95</v>
      </c>
      <c r="K60" s="4" t="str">
        <f>_xlfn.XLOOKUP(Orders[[#This Row],[CustomerID]],'Customers'!A:A,'Customers'!B:B)</f>
        <v>Jacob Green</v>
      </c>
      <c r="L60" s="4" t="str">
        <f>_xlfn.XLOOKUP(Orders[[#This Row],[ProductID]],Products!A:A,Products!B:B)</f>
        <v>Extension Cable</v>
      </c>
      <c r="M60" s="4" t="str">
        <f>_xlfn.XLOOKUP(Orders[[#This Row],[ProductID]],Products!A:A,Products!C:C)</f>
        <v>Electronics</v>
      </c>
      <c r="N60" s="4" t="str">
        <f>_xlfn.XLOOKUP(Orders[[#This Row],[RegionID]],'Regions'!A:A,'Regions'!B:B)</f>
        <v>Yorkshire</v>
      </c>
    </row>
    <row r="61" spans="1:14" x14ac:dyDescent="0.25">
      <c r="A61" s="3">
        <v>1060</v>
      </c>
      <c r="B61" s="1">
        <v>45736</v>
      </c>
      <c r="C61" t="s">
        <v>61</v>
      </c>
      <c r="D61" t="s">
        <v>8</v>
      </c>
      <c r="E61" s="3">
        <v>3</v>
      </c>
      <c r="F61" s="4">
        <f>_xlfn.XLOOKUP(Orders[[#This Row],[ProductID]],Products!A:A,Products!D:D)</f>
        <v>25.99</v>
      </c>
      <c r="G61" t="s">
        <v>9</v>
      </c>
      <c r="H61" t="str">
        <f>TEXT(Orders[[#This Row],[OrderDate]],"mmm")</f>
        <v>Mar</v>
      </c>
      <c r="I61" s="2">
        <f>YEAR(Orders[[#This Row],[OrderDate]])</f>
        <v>2025</v>
      </c>
      <c r="J61" s="4">
        <f>Orders[[#This Row],[Quantity]]*Orders[[#This Row],[UnitPrice]]</f>
        <v>77.97</v>
      </c>
      <c r="K61" s="4" t="str">
        <f>_xlfn.XLOOKUP(Orders[[#This Row],[CustomerID]],'Customers'!A:A,'Customers'!B:B)</f>
        <v>Sophie Adams</v>
      </c>
      <c r="L61" s="4" t="str">
        <f>_xlfn.XLOOKUP(Orders[[#This Row],[ProductID]],Products!A:A,Products!B:B)</f>
        <v>Wireless Mouse</v>
      </c>
      <c r="M61" s="4" t="str">
        <f>_xlfn.XLOOKUP(Orders[[#This Row],[ProductID]],Products!A:A,Products!C:C)</f>
        <v>Electronics</v>
      </c>
      <c r="N61" s="4" t="str">
        <f>_xlfn.XLOOKUP(Orders[[#This Row],[RegionID]],'Regions'!A:A,'Regions'!B:B)</f>
        <v>London</v>
      </c>
    </row>
    <row r="62" spans="1:14" x14ac:dyDescent="0.25">
      <c r="A62" s="3">
        <v>1061</v>
      </c>
      <c r="B62" s="1">
        <v>45737</v>
      </c>
      <c r="C62" t="s">
        <v>7</v>
      </c>
      <c r="D62" t="s">
        <v>14</v>
      </c>
      <c r="E62" s="3">
        <v>2</v>
      </c>
      <c r="F62" s="4">
        <f>_xlfn.XLOOKUP(Orders[[#This Row],[ProductID]],Products!A:A,Products!D:D)</f>
        <v>15.5</v>
      </c>
      <c r="G62" t="s">
        <v>9</v>
      </c>
      <c r="H62" t="str">
        <f>TEXT(Orders[[#This Row],[OrderDate]],"mmm")</f>
        <v>Mar</v>
      </c>
      <c r="I62" s="2">
        <f>YEAR(Orders[[#This Row],[OrderDate]])</f>
        <v>2025</v>
      </c>
      <c r="J62" s="4">
        <f>Orders[[#This Row],[Quantity]]*Orders[[#This Row],[UnitPrice]]</f>
        <v>31</v>
      </c>
      <c r="K62" s="4" t="str">
        <f>_xlfn.XLOOKUP(Orders[[#This Row],[CustomerID]],'Customers'!A:A,'Customers'!B:B)</f>
        <v>James Smith</v>
      </c>
      <c r="L62" s="4" t="str">
        <f>_xlfn.XLOOKUP(Orders[[#This Row],[ProductID]],Products!A:A,Products!B:B)</f>
        <v>Notebook</v>
      </c>
      <c r="M62" s="4" t="str">
        <f>_xlfn.XLOOKUP(Orders[[#This Row],[ProductID]],Products!A:A,Products!C:C)</f>
        <v>Stationery</v>
      </c>
      <c r="N62" s="4" t="str">
        <f>_xlfn.XLOOKUP(Orders[[#This Row],[RegionID]],'Regions'!A:A,'Regions'!B:B)</f>
        <v>London</v>
      </c>
    </row>
    <row r="63" spans="1:14" x14ac:dyDescent="0.25">
      <c r="A63" s="3">
        <v>1062</v>
      </c>
      <c r="B63" s="1">
        <v>45738</v>
      </c>
      <c r="C63" t="s">
        <v>10</v>
      </c>
      <c r="D63" t="s">
        <v>11</v>
      </c>
      <c r="E63" s="3">
        <v>1</v>
      </c>
      <c r="F63" s="4">
        <f>_xlfn.XLOOKUP(Orders[[#This Row],[ProductID]],Products!A:A,Products!D:D)</f>
        <v>199.99</v>
      </c>
      <c r="G63" t="s">
        <v>12</v>
      </c>
      <c r="H63" t="str">
        <f>TEXT(Orders[[#This Row],[OrderDate]],"mmm")</f>
        <v>Mar</v>
      </c>
      <c r="I63" s="2">
        <f>YEAR(Orders[[#This Row],[OrderDate]])</f>
        <v>2025</v>
      </c>
      <c r="J63" s="4">
        <f>Orders[[#This Row],[Quantity]]*Orders[[#This Row],[UnitPrice]]</f>
        <v>199.99</v>
      </c>
      <c r="K63" s="4" t="str">
        <f>_xlfn.XLOOKUP(Orders[[#This Row],[CustomerID]],'Customers'!A:A,'Customers'!B:B)</f>
        <v>Emily Johnson</v>
      </c>
      <c r="L63" s="4" t="str">
        <f>_xlfn.XLOOKUP(Orders[[#This Row],[ProductID]],Products!A:A,Products!B:B)</f>
        <v>Smartphone</v>
      </c>
      <c r="M63" s="4" t="str">
        <f>_xlfn.XLOOKUP(Orders[[#This Row],[ProductID]],Products!A:A,Products!C:C)</f>
        <v>Electronics</v>
      </c>
      <c r="N63" s="4" t="str">
        <f>_xlfn.XLOOKUP(Orders[[#This Row],[RegionID]],'Regions'!A:A,'Regions'!B:B)</f>
        <v>North West</v>
      </c>
    </row>
    <row r="64" spans="1:14" x14ac:dyDescent="0.25">
      <c r="A64" s="3">
        <v>1063</v>
      </c>
      <c r="B64" s="1">
        <v>45739</v>
      </c>
      <c r="C64" t="s">
        <v>13</v>
      </c>
      <c r="D64" t="s">
        <v>17</v>
      </c>
      <c r="E64" s="3">
        <v>1</v>
      </c>
      <c r="F64" s="4">
        <f>_xlfn.XLOOKUP(Orders[[#This Row],[ProductID]],Products!A:A,Products!D:D)</f>
        <v>89.99</v>
      </c>
      <c r="G64" t="s">
        <v>15</v>
      </c>
      <c r="H64" t="str">
        <f>TEXT(Orders[[#This Row],[OrderDate]],"mmm")</f>
        <v>Mar</v>
      </c>
      <c r="I64" s="2">
        <f>YEAR(Orders[[#This Row],[OrderDate]])</f>
        <v>2025</v>
      </c>
      <c r="J64" s="4">
        <f>Orders[[#This Row],[Quantity]]*Orders[[#This Row],[UnitPrice]]</f>
        <v>89.99</v>
      </c>
      <c r="K64" s="4" t="str">
        <f>_xlfn.XLOOKUP(Orders[[#This Row],[CustomerID]],'Customers'!A:A,'Customers'!B:B)</f>
        <v>Oliver Brown</v>
      </c>
      <c r="L64" s="4" t="str">
        <f>_xlfn.XLOOKUP(Orders[[#This Row],[ProductID]],Products!A:A,Products!B:B)</f>
        <v>Office Chair</v>
      </c>
      <c r="M64" s="4" t="str">
        <f>_xlfn.XLOOKUP(Orders[[#This Row],[ProductID]],Products!A:A,Products!C:C)</f>
        <v>Furniture</v>
      </c>
      <c r="N64" s="4" t="str">
        <f>_xlfn.XLOOKUP(Orders[[#This Row],[RegionID]],'Regions'!A:A,'Regions'!B:B)</f>
        <v>Midlands</v>
      </c>
    </row>
    <row r="65" spans="1:14" x14ac:dyDescent="0.25">
      <c r="A65" s="3">
        <v>1064</v>
      </c>
      <c r="B65" s="1">
        <v>45740</v>
      </c>
      <c r="C65" t="s">
        <v>16</v>
      </c>
      <c r="D65" t="s">
        <v>20</v>
      </c>
      <c r="E65" s="3">
        <v>6</v>
      </c>
      <c r="F65" s="4">
        <f>_xlfn.XLOOKUP(Orders[[#This Row],[ProductID]],Products!A:A,Products!D:D)</f>
        <v>9.99</v>
      </c>
      <c r="G65" t="s">
        <v>18</v>
      </c>
      <c r="H65" t="str">
        <f>TEXT(Orders[[#This Row],[OrderDate]],"mmm")</f>
        <v>Mar</v>
      </c>
      <c r="I65" s="2">
        <f>YEAR(Orders[[#This Row],[OrderDate]])</f>
        <v>2025</v>
      </c>
      <c r="J65" s="4">
        <f>Orders[[#This Row],[Quantity]]*Orders[[#This Row],[UnitPrice]]</f>
        <v>59.94</v>
      </c>
      <c r="K65" s="4" t="str">
        <f>_xlfn.XLOOKUP(Orders[[#This Row],[CustomerID]],'Customers'!A:A,'Customers'!B:B)</f>
        <v>Sophia Williams</v>
      </c>
      <c r="L65" s="4" t="str">
        <f>_xlfn.XLOOKUP(Orders[[#This Row],[ProductID]],Products!A:A,Products!B:B)</f>
        <v>Coffee Mug</v>
      </c>
      <c r="M65" s="4" t="str">
        <f>_xlfn.XLOOKUP(Orders[[#This Row],[ProductID]],Products!A:A,Products!C:C)</f>
        <v>Home</v>
      </c>
      <c r="N65" s="4" t="str">
        <f>_xlfn.XLOOKUP(Orders[[#This Row],[RegionID]],'Regions'!A:A,'Regions'!B:B)</f>
        <v>Yorkshire</v>
      </c>
    </row>
    <row r="66" spans="1:14" x14ac:dyDescent="0.25">
      <c r="A66" s="3">
        <v>1065</v>
      </c>
      <c r="B66" s="1">
        <v>45741</v>
      </c>
      <c r="C66" t="s">
        <v>19</v>
      </c>
      <c r="D66" t="s">
        <v>22</v>
      </c>
      <c r="E66" s="3">
        <v>2</v>
      </c>
      <c r="F66" s="4">
        <f>_xlfn.XLOOKUP(Orders[[#This Row],[ProductID]],Products!A:A,Products!D:D)</f>
        <v>49.99</v>
      </c>
      <c r="G66" t="s">
        <v>12</v>
      </c>
      <c r="H66" t="str">
        <f>TEXT(Orders[[#This Row],[OrderDate]],"mmm")</f>
        <v>Mar</v>
      </c>
      <c r="I66" s="2">
        <f>YEAR(Orders[[#This Row],[OrderDate]])</f>
        <v>2025</v>
      </c>
      <c r="J66" s="4">
        <f>Orders[[#This Row],[Quantity]]*Orders[[#This Row],[UnitPrice]]</f>
        <v>99.98</v>
      </c>
      <c r="K66" s="4" t="str">
        <f>_xlfn.XLOOKUP(Orders[[#This Row],[CustomerID]],'Customers'!A:A,'Customers'!B:B)</f>
        <v>Harry Jones</v>
      </c>
      <c r="L66" s="4" t="str">
        <f>_xlfn.XLOOKUP(Orders[[#This Row],[ProductID]],Products!A:A,Products!B:B)</f>
        <v>Desk Lamp</v>
      </c>
      <c r="M66" s="4" t="str">
        <f>_xlfn.XLOOKUP(Orders[[#This Row],[ProductID]],Products!A:A,Products!C:C)</f>
        <v>Furniture</v>
      </c>
      <c r="N66" s="4" t="str">
        <f>_xlfn.XLOOKUP(Orders[[#This Row],[RegionID]],'Regions'!A:A,'Regions'!B:B)</f>
        <v>North West</v>
      </c>
    </row>
    <row r="67" spans="1:14" x14ac:dyDescent="0.25">
      <c r="A67" s="3">
        <v>1066</v>
      </c>
      <c r="B67" s="1">
        <v>45742</v>
      </c>
      <c r="C67" t="s">
        <v>21</v>
      </c>
      <c r="D67" t="s">
        <v>57</v>
      </c>
      <c r="E67" s="3">
        <v>1</v>
      </c>
      <c r="F67" s="4">
        <f>_xlfn.XLOOKUP(Orders[[#This Row],[ProductID]],Products!A:A,Products!D:D)</f>
        <v>45.99</v>
      </c>
      <c r="G67" t="s">
        <v>15</v>
      </c>
      <c r="H67" t="str">
        <f>TEXT(Orders[[#This Row],[OrderDate]],"mmm")</f>
        <v>Mar</v>
      </c>
      <c r="I67" s="2">
        <f>YEAR(Orders[[#This Row],[OrderDate]])</f>
        <v>2025</v>
      </c>
      <c r="J67" s="4">
        <f>Orders[[#This Row],[Quantity]]*Orders[[#This Row],[UnitPrice]]</f>
        <v>45.99</v>
      </c>
      <c r="K67" s="4" t="str">
        <f>_xlfn.XLOOKUP(Orders[[#This Row],[CustomerID]],'Customers'!A:A,'Customers'!B:B)</f>
        <v>Amelia Taylor</v>
      </c>
      <c r="L67" s="4" t="str">
        <f>_xlfn.XLOOKUP(Orders[[#This Row],[ProductID]],Products!A:A,Products!B:B)</f>
        <v>Bluetooth Keyboard</v>
      </c>
      <c r="M67" s="4" t="str">
        <f>_xlfn.XLOOKUP(Orders[[#This Row],[ProductID]],Products!A:A,Products!C:C)</f>
        <v>Electronics</v>
      </c>
      <c r="N67" s="4" t="str">
        <f>_xlfn.XLOOKUP(Orders[[#This Row],[RegionID]],'Regions'!A:A,'Regions'!B:B)</f>
        <v>Midlands</v>
      </c>
    </row>
    <row r="68" spans="1:14" x14ac:dyDescent="0.25">
      <c r="A68" s="3">
        <v>1067</v>
      </c>
      <c r="B68" s="1">
        <v>45743</v>
      </c>
      <c r="C68" t="s">
        <v>23</v>
      </c>
      <c r="D68" t="s">
        <v>24</v>
      </c>
      <c r="E68" s="3">
        <v>1</v>
      </c>
      <c r="F68" s="4">
        <f>_xlfn.XLOOKUP(Orders[[#This Row],[ProductID]],Products!A:A,Products!D:D)</f>
        <v>149.99</v>
      </c>
      <c r="G68" t="s">
        <v>25</v>
      </c>
      <c r="H68" t="str">
        <f>TEXT(Orders[[#This Row],[OrderDate]],"mmm")</f>
        <v>Mar</v>
      </c>
      <c r="I68" s="2">
        <f>YEAR(Orders[[#This Row],[OrderDate]])</f>
        <v>2025</v>
      </c>
      <c r="J68" s="4">
        <f>Orders[[#This Row],[Quantity]]*Orders[[#This Row],[UnitPrice]]</f>
        <v>149.99</v>
      </c>
      <c r="K68" s="4" t="str">
        <f>_xlfn.XLOOKUP(Orders[[#This Row],[CustomerID]],'Customers'!A:A,'Customers'!B:B)</f>
        <v>Jack Davies</v>
      </c>
      <c r="L68" s="4" t="str">
        <f>_xlfn.XLOOKUP(Orders[[#This Row],[ProductID]],Products!A:A,Products!B:B)</f>
        <v>Monitor 24 inch</v>
      </c>
      <c r="M68" s="4" t="str">
        <f>_xlfn.XLOOKUP(Orders[[#This Row],[ProductID]],Products!A:A,Products!C:C)</f>
        <v>Electronics</v>
      </c>
      <c r="N68" s="4" t="str">
        <f>_xlfn.XLOOKUP(Orders[[#This Row],[RegionID]],'Regions'!A:A,'Regions'!B:B)</f>
        <v>Scotland</v>
      </c>
    </row>
    <row r="69" spans="1:14" x14ac:dyDescent="0.25">
      <c r="A69" s="3">
        <v>1068</v>
      </c>
      <c r="B69" s="1">
        <v>45744</v>
      </c>
      <c r="C69" t="s">
        <v>26</v>
      </c>
      <c r="D69" t="s">
        <v>27</v>
      </c>
      <c r="E69" s="3">
        <v>3</v>
      </c>
      <c r="F69" s="4">
        <f>_xlfn.XLOOKUP(Orders[[#This Row],[ProductID]],Products!A:A,Products!D:D)</f>
        <v>12.99</v>
      </c>
      <c r="G69" t="s">
        <v>9</v>
      </c>
      <c r="H69" t="str">
        <f>TEXT(Orders[[#This Row],[OrderDate]],"mmm")</f>
        <v>Mar</v>
      </c>
      <c r="I69" s="2">
        <f>YEAR(Orders[[#This Row],[OrderDate]])</f>
        <v>2025</v>
      </c>
      <c r="J69" s="4">
        <f>Orders[[#This Row],[Quantity]]*Orders[[#This Row],[UnitPrice]]</f>
        <v>38.97</v>
      </c>
      <c r="K69" s="4" t="str">
        <f>_xlfn.XLOOKUP(Orders[[#This Row],[CustomerID]],'Customers'!A:A,'Customers'!B:B)</f>
        <v>Isla Wilson</v>
      </c>
      <c r="L69" s="4" t="str">
        <f>_xlfn.XLOOKUP(Orders[[#This Row],[ProductID]],Products!A:A,Products!B:B)</f>
        <v>Water Bottle</v>
      </c>
      <c r="M69" s="4" t="str">
        <f>_xlfn.XLOOKUP(Orders[[#This Row],[ProductID]],Products!A:A,Products!C:C)</f>
        <v>Home</v>
      </c>
      <c r="N69" s="4" t="str">
        <f>_xlfn.XLOOKUP(Orders[[#This Row],[RegionID]],'Regions'!A:A,'Regions'!B:B)</f>
        <v>London</v>
      </c>
    </row>
    <row r="70" spans="1:14" x14ac:dyDescent="0.25">
      <c r="A70" s="3">
        <v>1069</v>
      </c>
      <c r="B70" s="1">
        <v>45745</v>
      </c>
      <c r="C70" t="s">
        <v>28</v>
      </c>
      <c r="D70" t="s">
        <v>29</v>
      </c>
      <c r="E70" s="3">
        <v>2</v>
      </c>
      <c r="F70" s="4">
        <f>_xlfn.XLOOKUP(Orders[[#This Row],[ProductID]],Products!A:A,Products!D:D)</f>
        <v>39.99</v>
      </c>
      <c r="G70" t="s">
        <v>18</v>
      </c>
      <c r="H70" t="str">
        <f>TEXT(Orders[[#This Row],[OrderDate]],"mmm")</f>
        <v>Mar</v>
      </c>
      <c r="I70" s="2">
        <f>YEAR(Orders[[#This Row],[OrderDate]])</f>
        <v>2025</v>
      </c>
      <c r="J70" s="4">
        <f>Orders[[#This Row],[Quantity]]*Orders[[#This Row],[UnitPrice]]</f>
        <v>79.98</v>
      </c>
      <c r="K70" s="4" t="str">
        <f>_xlfn.XLOOKUP(Orders[[#This Row],[CustomerID]],'Customers'!A:A,'Customers'!B:B)</f>
        <v>Charlie Evans</v>
      </c>
      <c r="L70" s="4" t="str">
        <f>_xlfn.XLOOKUP(Orders[[#This Row],[ProductID]],Products!A:A,Products!B:B)</f>
        <v>Backpack</v>
      </c>
      <c r="M70" s="4" t="str">
        <f>_xlfn.XLOOKUP(Orders[[#This Row],[ProductID]],Products!A:A,Products!C:C)</f>
        <v>Accessories</v>
      </c>
      <c r="N70" s="4" t="str">
        <f>_xlfn.XLOOKUP(Orders[[#This Row],[RegionID]],'Regions'!A:A,'Regions'!B:B)</f>
        <v>Yorkshire</v>
      </c>
    </row>
    <row r="71" spans="1:14" x14ac:dyDescent="0.25">
      <c r="A71" s="3">
        <v>1070</v>
      </c>
      <c r="B71" s="1">
        <v>45746</v>
      </c>
      <c r="C71" t="s">
        <v>30</v>
      </c>
      <c r="D71" t="s">
        <v>31</v>
      </c>
      <c r="E71" s="3">
        <v>5</v>
      </c>
      <c r="F71" s="4">
        <f>_xlfn.XLOOKUP(Orders[[#This Row],[ProductID]],Products!A:A,Products!D:D)</f>
        <v>5.99</v>
      </c>
      <c r="G71" t="s">
        <v>15</v>
      </c>
      <c r="H71" t="str">
        <f>TEXT(Orders[[#This Row],[OrderDate]],"mmm")</f>
        <v>Mar</v>
      </c>
      <c r="I71" s="2">
        <f>YEAR(Orders[[#This Row],[OrderDate]])</f>
        <v>2025</v>
      </c>
      <c r="J71" s="4">
        <f>Orders[[#This Row],[Quantity]]*Orders[[#This Row],[UnitPrice]]</f>
        <v>29.950000000000003</v>
      </c>
      <c r="K71" s="4" t="str">
        <f>_xlfn.XLOOKUP(Orders[[#This Row],[CustomerID]],'Customers'!A:A,'Customers'!B:B)</f>
        <v>Ava Thomas</v>
      </c>
      <c r="L71" s="4" t="str">
        <f>_xlfn.XLOOKUP(Orders[[#This Row],[ProductID]],Products!A:A,Products!B:B)</f>
        <v>Pen Set</v>
      </c>
      <c r="M71" s="4" t="str">
        <f>_xlfn.XLOOKUP(Orders[[#This Row],[ProductID]],Products!A:A,Products!C:C)</f>
        <v>Stationery</v>
      </c>
      <c r="N71" s="4" t="str">
        <f>_xlfn.XLOOKUP(Orders[[#This Row],[RegionID]],'Regions'!A:A,'Regions'!B:B)</f>
        <v>Midlands</v>
      </c>
    </row>
    <row r="72" spans="1:14" x14ac:dyDescent="0.25">
      <c r="A72" s="3">
        <v>1071</v>
      </c>
      <c r="B72" s="1">
        <v>45689</v>
      </c>
      <c r="C72" t="s">
        <v>32</v>
      </c>
      <c r="D72" t="s">
        <v>8</v>
      </c>
      <c r="E72" s="3">
        <v>2</v>
      </c>
      <c r="F72" s="4">
        <f>_xlfn.XLOOKUP(Orders[[#This Row],[ProductID]],Products!A:A,Products!D:D)</f>
        <v>25.99</v>
      </c>
      <c r="G72" t="s">
        <v>15</v>
      </c>
      <c r="H72" t="str">
        <f>TEXT(Orders[[#This Row],[OrderDate]],"mmm")</f>
        <v>Feb</v>
      </c>
      <c r="I72" s="2">
        <f>YEAR(Orders[[#This Row],[OrderDate]])</f>
        <v>2025</v>
      </c>
      <c r="J72" s="4">
        <f>Orders[[#This Row],[Quantity]]*Orders[[#This Row],[UnitPrice]]</f>
        <v>51.98</v>
      </c>
      <c r="K72" s="4" t="str">
        <f>_xlfn.XLOOKUP(Orders[[#This Row],[CustomerID]],'Customers'!A:A,'Customers'!B:B)</f>
        <v>George White</v>
      </c>
      <c r="L72" s="4" t="str">
        <f>_xlfn.XLOOKUP(Orders[[#This Row],[ProductID]],Products!A:A,Products!B:B)</f>
        <v>Wireless Mouse</v>
      </c>
      <c r="M72" s="4" t="str">
        <f>_xlfn.XLOOKUP(Orders[[#This Row],[ProductID]],Products!A:A,Products!C:C)</f>
        <v>Electronics</v>
      </c>
      <c r="N72" s="4" t="str">
        <f>_xlfn.XLOOKUP(Orders[[#This Row],[RegionID]],'Regions'!A:A,'Regions'!B:B)</f>
        <v>Midlands</v>
      </c>
    </row>
    <row r="73" spans="1:14" x14ac:dyDescent="0.25">
      <c r="A73" s="3">
        <v>1072</v>
      </c>
      <c r="B73" s="1">
        <v>45690</v>
      </c>
      <c r="C73" t="s">
        <v>34</v>
      </c>
      <c r="D73" t="s">
        <v>14</v>
      </c>
      <c r="E73" s="3">
        <v>4</v>
      </c>
      <c r="F73" s="4">
        <f>_xlfn.XLOOKUP(Orders[[#This Row],[ProductID]],Products!A:A,Products!D:D)</f>
        <v>15.5</v>
      </c>
      <c r="G73" t="s">
        <v>15</v>
      </c>
      <c r="H73" t="str">
        <f>TEXT(Orders[[#This Row],[OrderDate]],"mmm")</f>
        <v>Feb</v>
      </c>
      <c r="I73" s="2">
        <f>YEAR(Orders[[#This Row],[OrderDate]])</f>
        <v>2025</v>
      </c>
      <c r="J73" s="4">
        <f>Orders[[#This Row],[Quantity]]*Orders[[#This Row],[UnitPrice]]</f>
        <v>62</v>
      </c>
      <c r="K73" s="4" t="str">
        <f>_xlfn.XLOOKUP(Orders[[#This Row],[CustomerID]],'Customers'!A:A,'Customers'!B:B)</f>
        <v>Mia Harris</v>
      </c>
      <c r="L73" s="4" t="str">
        <f>_xlfn.XLOOKUP(Orders[[#This Row],[ProductID]],Products!A:A,Products!B:B)</f>
        <v>Notebook</v>
      </c>
      <c r="M73" s="4" t="str">
        <f>_xlfn.XLOOKUP(Orders[[#This Row],[ProductID]],Products!A:A,Products!C:C)</f>
        <v>Stationery</v>
      </c>
      <c r="N73" s="4" t="str">
        <f>_xlfn.XLOOKUP(Orders[[#This Row],[RegionID]],'Regions'!A:A,'Regions'!B:B)</f>
        <v>Midlands</v>
      </c>
    </row>
    <row r="74" spans="1:14" x14ac:dyDescent="0.25">
      <c r="A74" s="3">
        <v>1073</v>
      </c>
      <c r="B74" s="1">
        <v>45691</v>
      </c>
      <c r="C74" t="s">
        <v>36</v>
      </c>
      <c r="D74" t="s">
        <v>11</v>
      </c>
      <c r="E74" s="3">
        <v>1</v>
      </c>
      <c r="F74" s="4">
        <f>_xlfn.XLOOKUP(Orders[[#This Row],[ProductID]],Products!A:A,Products!D:D)</f>
        <v>199.99</v>
      </c>
      <c r="G74" t="s">
        <v>12</v>
      </c>
      <c r="H74" t="str">
        <f>TEXT(Orders[[#This Row],[OrderDate]],"mmm")</f>
        <v>Feb</v>
      </c>
      <c r="I74" s="2">
        <f>YEAR(Orders[[#This Row],[OrderDate]])</f>
        <v>2025</v>
      </c>
      <c r="J74" s="4">
        <f>Orders[[#This Row],[Quantity]]*Orders[[#This Row],[UnitPrice]]</f>
        <v>199.99</v>
      </c>
      <c r="K74" s="4" t="str">
        <f>_xlfn.XLOOKUP(Orders[[#This Row],[CustomerID]],'Customers'!A:A,'Customers'!B:B)</f>
        <v>Noah Martin</v>
      </c>
      <c r="L74" s="4" t="str">
        <f>_xlfn.XLOOKUP(Orders[[#This Row],[ProductID]],Products!A:A,Products!B:B)</f>
        <v>Smartphone</v>
      </c>
      <c r="M74" s="4" t="str">
        <f>_xlfn.XLOOKUP(Orders[[#This Row],[ProductID]],Products!A:A,Products!C:C)</f>
        <v>Electronics</v>
      </c>
      <c r="N74" s="4" t="str">
        <f>_xlfn.XLOOKUP(Orders[[#This Row],[RegionID]],'Regions'!A:A,'Regions'!B:B)</f>
        <v>North West</v>
      </c>
    </row>
    <row r="75" spans="1:14" x14ac:dyDescent="0.25">
      <c r="A75" s="3">
        <v>1074</v>
      </c>
      <c r="B75" s="1">
        <v>45692</v>
      </c>
      <c r="C75" t="s">
        <v>38</v>
      </c>
      <c r="D75" t="s">
        <v>17</v>
      </c>
      <c r="E75" s="3">
        <v>2</v>
      </c>
      <c r="F75" s="4">
        <f>_xlfn.XLOOKUP(Orders[[#This Row],[ProductID]],Products!A:A,Products!D:D)</f>
        <v>89.99</v>
      </c>
      <c r="G75" t="s">
        <v>12</v>
      </c>
      <c r="H75" t="str">
        <f>TEXT(Orders[[#This Row],[OrderDate]],"mmm")</f>
        <v>Feb</v>
      </c>
      <c r="I75" s="2">
        <f>YEAR(Orders[[#This Row],[OrderDate]])</f>
        <v>2025</v>
      </c>
      <c r="J75" s="4">
        <f>Orders[[#This Row],[Quantity]]*Orders[[#This Row],[UnitPrice]]</f>
        <v>179.98</v>
      </c>
      <c r="K75" s="4" t="str">
        <f>_xlfn.XLOOKUP(Orders[[#This Row],[CustomerID]],'Customers'!A:A,'Customers'!B:B)</f>
        <v>Lily Thompson</v>
      </c>
      <c r="L75" s="4" t="str">
        <f>_xlfn.XLOOKUP(Orders[[#This Row],[ProductID]],Products!A:A,Products!B:B)</f>
        <v>Office Chair</v>
      </c>
      <c r="M75" s="4" t="str">
        <f>_xlfn.XLOOKUP(Orders[[#This Row],[ProductID]],Products!A:A,Products!C:C)</f>
        <v>Furniture</v>
      </c>
      <c r="N75" s="4" t="str">
        <f>_xlfn.XLOOKUP(Orders[[#This Row],[RegionID]],'Regions'!A:A,'Regions'!B:B)</f>
        <v>North West</v>
      </c>
    </row>
    <row r="76" spans="1:14" x14ac:dyDescent="0.25">
      <c r="A76" s="3">
        <v>1075</v>
      </c>
      <c r="B76" s="1">
        <v>45693</v>
      </c>
      <c r="C76" t="s">
        <v>40</v>
      </c>
      <c r="D76" t="s">
        <v>20</v>
      </c>
      <c r="E76" s="3">
        <v>3</v>
      </c>
      <c r="F76" s="4">
        <f>_xlfn.XLOOKUP(Orders[[#This Row],[ProductID]],Products!A:A,Products!D:D)</f>
        <v>9.99</v>
      </c>
      <c r="G76" t="s">
        <v>9</v>
      </c>
      <c r="H76" t="str">
        <f>TEXT(Orders[[#This Row],[OrderDate]],"mmm")</f>
        <v>Feb</v>
      </c>
      <c r="I76" s="2">
        <f>YEAR(Orders[[#This Row],[OrderDate]])</f>
        <v>2025</v>
      </c>
      <c r="J76" s="4">
        <f>Orders[[#This Row],[Quantity]]*Orders[[#This Row],[UnitPrice]]</f>
        <v>29.97</v>
      </c>
      <c r="K76" s="4" t="str">
        <f>_xlfn.XLOOKUP(Orders[[#This Row],[CustomerID]],'Customers'!A:A,'Customers'!B:B)</f>
        <v>Oscar Garcia</v>
      </c>
      <c r="L76" s="4" t="str">
        <f>_xlfn.XLOOKUP(Orders[[#This Row],[ProductID]],Products!A:A,Products!B:B)</f>
        <v>Coffee Mug</v>
      </c>
      <c r="M76" s="4" t="str">
        <f>_xlfn.XLOOKUP(Orders[[#This Row],[ProductID]],Products!A:A,Products!C:C)</f>
        <v>Home</v>
      </c>
      <c r="N76" s="4" t="str">
        <f>_xlfn.XLOOKUP(Orders[[#This Row],[RegionID]],'Regions'!A:A,'Regions'!B:B)</f>
        <v>London</v>
      </c>
    </row>
    <row r="77" spans="1:14" x14ac:dyDescent="0.25">
      <c r="A77" s="3">
        <v>1076</v>
      </c>
      <c r="B77" s="1">
        <v>45694</v>
      </c>
      <c r="C77" t="s">
        <v>42</v>
      </c>
      <c r="D77" t="s">
        <v>22</v>
      </c>
      <c r="E77" s="3">
        <v>2</v>
      </c>
      <c r="F77" s="4">
        <f>_xlfn.XLOOKUP(Orders[[#This Row],[ProductID]],Products!A:A,Products!D:D)</f>
        <v>49.99</v>
      </c>
      <c r="G77" t="s">
        <v>9</v>
      </c>
      <c r="H77" t="str">
        <f>TEXT(Orders[[#This Row],[OrderDate]],"mmm")</f>
        <v>Feb</v>
      </c>
      <c r="I77" s="2">
        <f>YEAR(Orders[[#This Row],[OrderDate]])</f>
        <v>2025</v>
      </c>
      <c r="J77" s="4">
        <f>Orders[[#This Row],[Quantity]]*Orders[[#This Row],[UnitPrice]]</f>
        <v>99.98</v>
      </c>
      <c r="K77" s="4" t="str">
        <f>_xlfn.XLOOKUP(Orders[[#This Row],[CustomerID]],'Customers'!A:A,'Customers'!B:B)</f>
        <v>Grace Martinez</v>
      </c>
      <c r="L77" s="4" t="str">
        <f>_xlfn.XLOOKUP(Orders[[#This Row],[ProductID]],Products!A:A,Products!B:B)</f>
        <v>Desk Lamp</v>
      </c>
      <c r="M77" s="4" t="str">
        <f>_xlfn.XLOOKUP(Orders[[#This Row],[ProductID]],Products!A:A,Products!C:C)</f>
        <v>Furniture</v>
      </c>
      <c r="N77" s="4" t="str">
        <f>_xlfn.XLOOKUP(Orders[[#This Row],[RegionID]],'Regions'!A:A,'Regions'!B:B)</f>
        <v>London</v>
      </c>
    </row>
    <row r="78" spans="1:14" x14ac:dyDescent="0.25">
      <c r="A78" s="3">
        <v>1077</v>
      </c>
      <c r="B78" s="1">
        <v>45695</v>
      </c>
      <c r="C78" t="s">
        <v>44</v>
      </c>
      <c r="D78" t="s">
        <v>57</v>
      </c>
      <c r="E78" s="3">
        <v>1</v>
      </c>
      <c r="F78" s="4">
        <f>_xlfn.XLOOKUP(Orders[[#This Row],[ProductID]],Products!A:A,Products!D:D)</f>
        <v>45.99</v>
      </c>
      <c r="G78" t="s">
        <v>15</v>
      </c>
      <c r="H78" t="str">
        <f>TEXT(Orders[[#This Row],[OrderDate]],"mmm")</f>
        <v>Feb</v>
      </c>
      <c r="I78" s="2">
        <f>YEAR(Orders[[#This Row],[OrderDate]])</f>
        <v>2025</v>
      </c>
      <c r="J78" s="4">
        <f>Orders[[#This Row],[Quantity]]*Orders[[#This Row],[UnitPrice]]</f>
        <v>45.99</v>
      </c>
      <c r="K78" s="4" t="str">
        <f>_xlfn.XLOOKUP(Orders[[#This Row],[CustomerID]],'Customers'!A:A,'Customers'!B:B)</f>
        <v>Leo Robinson</v>
      </c>
      <c r="L78" s="4" t="str">
        <f>_xlfn.XLOOKUP(Orders[[#This Row],[ProductID]],Products!A:A,Products!B:B)</f>
        <v>Bluetooth Keyboard</v>
      </c>
      <c r="M78" s="4" t="str">
        <f>_xlfn.XLOOKUP(Orders[[#This Row],[ProductID]],Products!A:A,Products!C:C)</f>
        <v>Electronics</v>
      </c>
      <c r="N78" s="4" t="str">
        <f>_xlfn.XLOOKUP(Orders[[#This Row],[RegionID]],'Regions'!A:A,'Regions'!B:B)</f>
        <v>Midlands</v>
      </c>
    </row>
    <row r="79" spans="1:14" x14ac:dyDescent="0.25">
      <c r="A79" s="3">
        <v>1078</v>
      </c>
      <c r="B79" s="1">
        <v>45696</v>
      </c>
      <c r="C79" t="s">
        <v>46</v>
      </c>
      <c r="D79" t="s">
        <v>24</v>
      </c>
      <c r="E79" s="3">
        <v>1</v>
      </c>
      <c r="F79" s="4">
        <f>_xlfn.XLOOKUP(Orders[[#This Row],[ProductID]],Products!A:A,Products!D:D)</f>
        <v>149.99</v>
      </c>
      <c r="G79" t="s">
        <v>12</v>
      </c>
      <c r="H79" t="str">
        <f>TEXT(Orders[[#This Row],[OrderDate]],"mmm")</f>
        <v>Feb</v>
      </c>
      <c r="I79" s="2">
        <f>YEAR(Orders[[#This Row],[OrderDate]])</f>
        <v>2025</v>
      </c>
      <c r="J79" s="4">
        <f>Orders[[#This Row],[Quantity]]*Orders[[#This Row],[UnitPrice]]</f>
        <v>149.99</v>
      </c>
      <c r="K79" s="4" t="str">
        <f>_xlfn.XLOOKUP(Orders[[#This Row],[CustomerID]],'Customers'!A:A,'Customers'!B:B)</f>
        <v>Chloe Clark</v>
      </c>
      <c r="L79" s="4" t="str">
        <f>_xlfn.XLOOKUP(Orders[[#This Row],[ProductID]],Products!A:A,Products!B:B)</f>
        <v>Monitor 24 inch</v>
      </c>
      <c r="M79" s="4" t="str">
        <f>_xlfn.XLOOKUP(Orders[[#This Row],[ProductID]],Products!A:A,Products!C:C)</f>
        <v>Electronics</v>
      </c>
      <c r="N79" s="4" t="str">
        <f>_xlfn.XLOOKUP(Orders[[#This Row],[RegionID]],'Regions'!A:A,'Regions'!B:B)</f>
        <v>North West</v>
      </c>
    </row>
    <row r="80" spans="1:14" x14ac:dyDescent="0.25">
      <c r="A80" s="3">
        <v>1079</v>
      </c>
      <c r="B80" s="1">
        <v>45697</v>
      </c>
      <c r="C80" t="s">
        <v>48</v>
      </c>
      <c r="D80" t="s">
        <v>27</v>
      </c>
      <c r="E80" s="3">
        <v>4</v>
      </c>
      <c r="F80" s="4">
        <f>_xlfn.XLOOKUP(Orders[[#This Row],[ProductID]],Products!A:A,Products!D:D)</f>
        <v>12.99</v>
      </c>
      <c r="G80" t="s">
        <v>12</v>
      </c>
      <c r="H80" t="str">
        <f>TEXT(Orders[[#This Row],[OrderDate]],"mmm")</f>
        <v>Feb</v>
      </c>
      <c r="I80" s="2">
        <f>YEAR(Orders[[#This Row],[OrderDate]])</f>
        <v>2025</v>
      </c>
      <c r="J80" s="4">
        <f>Orders[[#This Row],[Quantity]]*Orders[[#This Row],[UnitPrice]]</f>
        <v>51.96</v>
      </c>
      <c r="K80" s="4" t="str">
        <f>_xlfn.XLOOKUP(Orders[[#This Row],[CustomerID]],'Customers'!A:A,'Customers'!B:B)</f>
        <v>Freddie Rodriguez</v>
      </c>
      <c r="L80" s="4" t="str">
        <f>_xlfn.XLOOKUP(Orders[[#This Row],[ProductID]],Products!A:A,Products!B:B)</f>
        <v>Water Bottle</v>
      </c>
      <c r="M80" s="4" t="str">
        <f>_xlfn.XLOOKUP(Orders[[#This Row],[ProductID]],Products!A:A,Products!C:C)</f>
        <v>Home</v>
      </c>
      <c r="N80" s="4" t="str">
        <f>_xlfn.XLOOKUP(Orders[[#This Row],[RegionID]],'Regions'!A:A,'Regions'!B:B)</f>
        <v>North West</v>
      </c>
    </row>
    <row r="81" spans="1:14" x14ac:dyDescent="0.25">
      <c r="A81" s="3">
        <v>1080</v>
      </c>
      <c r="B81" s="1">
        <v>45698</v>
      </c>
      <c r="C81" t="str">
        <f t="shared" ref="C81:C144" ca="1" si="0">"C"&amp;TEXT(RANDBETWEEN(1,30),"000")</f>
        <v>C027</v>
      </c>
      <c r="D81" t="str">
        <f t="shared" ref="D81:D144" ca="1" si="1">"P"&amp;TEXT(RANDBETWEEN(1,20),"000")</f>
        <v>P012</v>
      </c>
      <c r="E81" s="3">
        <f t="shared" ref="E81:E144" ca="1" si="2">RANDBETWEEN(1,10)</f>
        <v>4</v>
      </c>
      <c r="F81" s="4">
        <f ca="1">_xlfn.XLOOKUP(Orders[[#This Row],[ProductID]],Products!A:A,Products!D:D)</f>
        <v>299.99</v>
      </c>
      <c r="G81" t="str">
        <f ca="1">_xlfn.XLOOKUP(Orders[[#This Row],[CustomerID]],'Customers'!A:A,'Customers'!F:F)</f>
        <v>R04</v>
      </c>
      <c r="H81" t="str">
        <f>TEXT(Orders[[#This Row],[OrderDate]],"mmm")</f>
        <v>Feb</v>
      </c>
      <c r="I81" s="2">
        <f>YEAR(Orders[[#This Row],[OrderDate]])</f>
        <v>2025</v>
      </c>
      <c r="J81" s="4">
        <f ca="1">Orders[[#This Row],[Quantity]]*Orders[[#This Row],[UnitPrice]]</f>
        <v>1199.96</v>
      </c>
      <c r="K81" s="4" t="str">
        <f ca="1">_xlfn.XLOOKUP(Orders[[#This Row],[CustomerID]],'Customers'!A:A,'Customers'!B:B)</f>
        <v>Henry Wright</v>
      </c>
      <c r="L81" s="4" t="str">
        <f ca="1">_xlfn.XLOOKUP(Orders[[#This Row],[ProductID]],Products!A:A,Products!B:B)</f>
        <v>Tablet</v>
      </c>
      <c r="M81" s="4" t="str">
        <f ca="1">_xlfn.XLOOKUP(Orders[[#This Row],[ProductID]],Products!A:A,Products!C:C)</f>
        <v>Electronics</v>
      </c>
      <c r="N81" s="4" t="str">
        <f ca="1">_xlfn.XLOOKUP(Orders[[#This Row],[RegionID]],'Regions'!A:A,'Regions'!B:B)</f>
        <v>Yorkshire</v>
      </c>
    </row>
    <row r="82" spans="1:14" x14ac:dyDescent="0.25">
      <c r="A82" s="3">
        <v>1081</v>
      </c>
      <c r="B82" s="1">
        <v>45699</v>
      </c>
      <c r="C82" t="str">
        <f t="shared" ca="1" si="0"/>
        <v>C027</v>
      </c>
      <c r="D82" t="str">
        <f t="shared" ca="1" si="1"/>
        <v>P015</v>
      </c>
      <c r="E82" s="3">
        <f t="shared" ca="1" si="2"/>
        <v>4</v>
      </c>
      <c r="F82" s="4">
        <f ca="1">_xlfn.XLOOKUP(Orders[[#This Row],[ProductID]],Products!A:A,Products!D:D)</f>
        <v>79.989999999999995</v>
      </c>
      <c r="G82" t="str">
        <f ca="1">_xlfn.XLOOKUP(Orders[[#This Row],[CustomerID]],'Customers'!A:A,'Customers'!F:F)</f>
        <v>R04</v>
      </c>
      <c r="H82" t="str">
        <f>TEXT(Orders[[#This Row],[OrderDate]],"mmm")</f>
        <v>Feb</v>
      </c>
      <c r="I82" s="2">
        <f>YEAR(Orders[[#This Row],[OrderDate]])</f>
        <v>2025</v>
      </c>
      <c r="J82" s="4">
        <f ca="1">Orders[[#This Row],[Quantity]]*Orders[[#This Row],[UnitPrice]]</f>
        <v>319.95999999999998</v>
      </c>
      <c r="K82" s="4" t="str">
        <f ca="1">_xlfn.XLOOKUP(Orders[[#This Row],[CustomerID]],'Customers'!A:A,'Customers'!B:B)</f>
        <v>Henry Wright</v>
      </c>
      <c r="L82" s="4" t="str">
        <f ca="1">_xlfn.XLOOKUP(Orders[[#This Row],[ProductID]],Products!A:A,Products!B:B)</f>
        <v>Headphones</v>
      </c>
      <c r="M82" s="4" t="str">
        <f ca="1">_xlfn.XLOOKUP(Orders[[#This Row],[ProductID]],Products!A:A,Products!C:C)</f>
        <v>Electronics</v>
      </c>
      <c r="N82" s="4" t="str">
        <f ca="1">_xlfn.XLOOKUP(Orders[[#This Row],[RegionID]],'Regions'!A:A,'Regions'!B:B)</f>
        <v>Yorkshire</v>
      </c>
    </row>
    <row r="83" spans="1:14" x14ac:dyDescent="0.25">
      <c r="A83" s="3">
        <v>1082</v>
      </c>
      <c r="B83" s="1">
        <v>45700</v>
      </c>
      <c r="C83" t="str">
        <f t="shared" ca="1" si="0"/>
        <v>C024</v>
      </c>
      <c r="D83" t="str">
        <f t="shared" ca="1" si="1"/>
        <v>P016</v>
      </c>
      <c r="E83" s="3">
        <f t="shared" ca="1" si="2"/>
        <v>7</v>
      </c>
      <c r="F83" s="4">
        <f ca="1">_xlfn.XLOOKUP(Orders[[#This Row],[ProductID]],Products!A:A,Products!D:D)</f>
        <v>399.99</v>
      </c>
      <c r="G83" t="str">
        <f ca="1">_xlfn.XLOOKUP(Orders[[#This Row],[CustomerID]],'Customers'!A:A,'Customers'!F:F)</f>
        <v>R01</v>
      </c>
      <c r="H83" t="str">
        <f>TEXT(Orders[[#This Row],[OrderDate]],"mmm")</f>
        <v>Feb</v>
      </c>
      <c r="I83" s="2">
        <f>YEAR(Orders[[#This Row],[OrderDate]])</f>
        <v>2025</v>
      </c>
      <c r="J83" s="4">
        <f ca="1">Orders[[#This Row],[Quantity]]*Orders[[#This Row],[UnitPrice]]</f>
        <v>2799.9300000000003</v>
      </c>
      <c r="K83" s="4" t="str">
        <f ca="1">_xlfn.XLOOKUP(Orders[[#This Row],[CustomerID]],'Customers'!A:A,'Customers'!B:B)</f>
        <v>Isabella Allen</v>
      </c>
      <c r="L83" s="4" t="str">
        <f ca="1">_xlfn.XLOOKUP(Orders[[#This Row],[ProductID]],Products!A:A,Products!B:B)</f>
        <v>Standing Desk</v>
      </c>
      <c r="M83" s="4" t="str">
        <f ca="1">_xlfn.XLOOKUP(Orders[[#This Row],[ProductID]],Products!A:A,Products!C:C)</f>
        <v>Furniture</v>
      </c>
      <c r="N83" s="4" t="str">
        <f ca="1">_xlfn.XLOOKUP(Orders[[#This Row],[RegionID]],'Regions'!A:A,'Regions'!B:B)</f>
        <v>London</v>
      </c>
    </row>
    <row r="84" spans="1:14" x14ac:dyDescent="0.25">
      <c r="A84" s="3">
        <v>1083</v>
      </c>
      <c r="B84" s="1">
        <v>45701</v>
      </c>
      <c r="C84" t="str">
        <f t="shared" ca="1" si="0"/>
        <v>C018</v>
      </c>
      <c r="D84" t="str">
        <f t="shared" ca="1" si="1"/>
        <v>P009</v>
      </c>
      <c r="E84" s="3">
        <f t="shared" ca="1" si="2"/>
        <v>1</v>
      </c>
      <c r="F84" s="4">
        <f ca="1">_xlfn.XLOOKUP(Orders[[#This Row],[ProductID]],Products!A:A,Products!D:D)</f>
        <v>12.99</v>
      </c>
      <c r="G84" t="str">
        <f ca="1">_xlfn.XLOOKUP(Orders[[#This Row],[CustomerID]],'Customers'!A:A,'Customers'!F:F)</f>
        <v>R02</v>
      </c>
      <c r="H84" t="str">
        <f>TEXT(Orders[[#This Row],[OrderDate]],"mmm")</f>
        <v>Feb</v>
      </c>
      <c r="I84" s="2">
        <f>YEAR(Orders[[#This Row],[OrderDate]])</f>
        <v>2025</v>
      </c>
      <c r="J84" s="4">
        <f ca="1">Orders[[#This Row],[Quantity]]*Orders[[#This Row],[UnitPrice]]</f>
        <v>12.99</v>
      </c>
      <c r="K84" s="4" t="str">
        <f ca="1">_xlfn.XLOOKUP(Orders[[#This Row],[CustomerID]],'Customers'!A:A,'Customers'!B:B)</f>
        <v>Chloe Clark</v>
      </c>
      <c r="L84" s="4" t="str">
        <f ca="1">_xlfn.XLOOKUP(Orders[[#This Row],[ProductID]],Products!A:A,Products!B:B)</f>
        <v>Water Bottle</v>
      </c>
      <c r="M84" s="4" t="str">
        <f ca="1">_xlfn.XLOOKUP(Orders[[#This Row],[ProductID]],Products!A:A,Products!C:C)</f>
        <v>Home</v>
      </c>
      <c r="N84" s="4" t="str">
        <f ca="1">_xlfn.XLOOKUP(Orders[[#This Row],[RegionID]],'Regions'!A:A,'Regions'!B:B)</f>
        <v>North West</v>
      </c>
    </row>
    <row r="85" spans="1:14" x14ac:dyDescent="0.25">
      <c r="A85" s="3">
        <v>1084</v>
      </c>
      <c r="B85" s="1">
        <v>45702</v>
      </c>
      <c r="C85" t="str">
        <f t="shared" ca="1" si="0"/>
        <v>C024</v>
      </c>
      <c r="D85" t="str">
        <f t="shared" ca="1" si="1"/>
        <v>P009</v>
      </c>
      <c r="E85" s="3">
        <f t="shared" ca="1" si="2"/>
        <v>3</v>
      </c>
      <c r="F85" s="4">
        <f ca="1">_xlfn.XLOOKUP(Orders[[#This Row],[ProductID]],Products!A:A,Products!D:D)</f>
        <v>12.99</v>
      </c>
      <c r="G85" t="str">
        <f ca="1">_xlfn.XLOOKUP(Orders[[#This Row],[CustomerID]],'Customers'!A:A,'Customers'!F:F)</f>
        <v>R01</v>
      </c>
      <c r="H85" t="str">
        <f>TEXT(Orders[[#This Row],[OrderDate]],"mmm")</f>
        <v>Feb</v>
      </c>
      <c r="I85" s="2">
        <f>YEAR(Orders[[#This Row],[OrderDate]])</f>
        <v>2025</v>
      </c>
      <c r="J85" s="4">
        <f ca="1">Orders[[#This Row],[Quantity]]*Orders[[#This Row],[UnitPrice]]</f>
        <v>38.97</v>
      </c>
      <c r="K85" s="4" t="str">
        <f ca="1">_xlfn.XLOOKUP(Orders[[#This Row],[CustomerID]],'Customers'!A:A,'Customers'!B:B)</f>
        <v>Isabella Allen</v>
      </c>
      <c r="L85" s="4" t="str">
        <f ca="1">_xlfn.XLOOKUP(Orders[[#This Row],[ProductID]],Products!A:A,Products!B:B)</f>
        <v>Water Bottle</v>
      </c>
      <c r="M85" s="4" t="str">
        <f ca="1">_xlfn.XLOOKUP(Orders[[#This Row],[ProductID]],Products!A:A,Products!C:C)</f>
        <v>Home</v>
      </c>
      <c r="N85" s="4" t="str">
        <f ca="1">_xlfn.XLOOKUP(Orders[[#This Row],[RegionID]],'Regions'!A:A,'Regions'!B:B)</f>
        <v>London</v>
      </c>
    </row>
    <row r="86" spans="1:14" x14ac:dyDescent="0.25">
      <c r="A86" s="3">
        <v>1085</v>
      </c>
      <c r="B86" s="1">
        <v>45705</v>
      </c>
      <c r="C86" t="str">
        <f t="shared" ca="1" si="0"/>
        <v>C024</v>
      </c>
      <c r="D86" t="str">
        <f t="shared" ca="1" si="1"/>
        <v>P018</v>
      </c>
      <c r="E86" s="3">
        <f t="shared" ca="1" si="2"/>
        <v>6</v>
      </c>
      <c r="F86" s="4">
        <f ca="1">_xlfn.XLOOKUP(Orders[[#This Row],[ProductID]],Products!A:A,Products!D:D)</f>
        <v>29.99</v>
      </c>
      <c r="G86" t="str">
        <f ca="1">_xlfn.XLOOKUP(Orders[[#This Row],[CustomerID]],'Customers'!A:A,'Customers'!F:F)</f>
        <v>R01</v>
      </c>
      <c r="H86" t="str">
        <f>TEXT(Orders[[#This Row],[OrderDate]],"mmm")</f>
        <v>Feb</v>
      </c>
      <c r="I86" s="2">
        <f>YEAR(Orders[[#This Row],[OrderDate]])</f>
        <v>2025</v>
      </c>
      <c r="J86" s="4">
        <f ca="1">Orders[[#This Row],[Quantity]]*Orders[[#This Row],[UnitPrice]]</f>
        <v>179.94</v>
      </c>
      <c r="K86" s="4" t="str">
        <f ca="1">_xlfn.XLOOKUP(Orders[[#This Row],[CustomerID]],'Customers'!A:A,'Customers'!B:B)</f>
        <v>Isabella Allen</v>
      </c>
      <c r="L86" s="4" t="str">
        <f ca="1">_xlfn.XLOOKUP(Orders[[#This Row],[ProductID]],Products!A:A,Products!B:B)</f>
        <v>Laptop Stand</v>
      </c>
      <c r="M86" s="4" t="str">
        <f ca="1">_xlfn.XLOOKUP(Orders[[#This Row],[ProductID]],Products!A:A,Products!C:C)</f>
        <v>Accessories</v>
      </c>
      <c r="N86" s="4" t="str">
        <f ca="1">_xlfn.XLOOKUP(Orders[[#This Row],[RegionID]],'Regions'!A:A,'Regions'!B:B)</f>
        <v>London</v>
      </c>
    </row>
    <row r="87" spans="1:14" x14ac:dyDescent="0.25">
      <c r="A87" s="3">
        <v>1086</v>
      </c>
      <c r="B87" s="1">
        <v>45706</v>
      </c>
      <c r="C87" t="str">
        <f t="shared" ca="1" si="0"/>
        <v>C018</v>
      </c>
      <c r="D87" t="str">
        <f t="shared" ca="1" si="1"/>
        <v>P018</v>
      </c>
      <c r="E87" s="3">
        <f t="shared" ca="1" si="2"/>
        <v>10</v>
      </c>
      <c r="F87" s="4">
        <f ca="1">_xlfn.XLOOKUP(Orders[[#This Row],[ProductID]],Products!A:A,Products!D:D)</f>
        <v>29.99</v>
      </c>
      <c r="G87" t="str">
        <f ca="1">_xlfn.XLOOKUP(Orders[[#This Row],[CustomerID]],'Customers'!A:A,'Customers'!F:F)</f>
        <v>R02</v>
      </c>
      <c r="H87" t="str">
        <f>TEXT(Orders[[#This Row],[OrderDate]],"mmm")</f>
        <v>Feb</v>
      </c>
      <c r="I87" s="2">
        <f>YEAR(Orders[[#This Row],[OrderDate]])</f>
        <v>2025</v>
      </c>
      <c r="J87" s="4">
        <f ca="1">Orders[[#This Row],[Quantity]]*Orders[[#This Row],[UnitPrice]]</f>
        <v>299.89999999999998</v>
      </c>
      <c r="K87" s="4" t="str">
        <f ca="1">_xlfn.XLOOKUP(Orders[[#This Row],[CustomerID]],'Customers'!A:A,'Customers'!B:B)</f>
        <v>Chloe Clark</v>
      </c>
      <c r="L87" s="4" t="str">
        <f ca="1">_xlfn.XLOOKUP(Orders[[#This Row],[ProductID]],Products!A:A,Products!B:B)</f>
        <v>Laptop Stand</v>
      </c>
      <c r="M87" s="4" t="str">
        <f ca="1">_xlfn.XLOOKUP(Orders[[#This Row],[ProductID]],Products!A:A,Products!C:C)</f>
        <v>Accessories</v>
      </c>
      <c r="N87" s="4" t="str">
        <f ca="1">_xlfn.XLOOKUP(Orders[[#This Row],[RegionID]],'Regions'!A:A,'Regions'!B:B)</f>
        <v>North West</v>
      </c>
    </row>
    <row r="88" spans="1:14" x14ac:dyDescent="0.25">
      <c r="A88" s="3">
        <v>1087</v>
      </c>
      <c r="B88" s="1">
        <v>45707</v>
      </c>
      <c r="C88" t="str">
        <f t="shared" ca="1" si="0"/>
        <v>C028</v>
      </c>
      <c r="D88" t="str">
        <f t="shared" ca="1" si="1"/>
        <v>P002</v>
      </c>
      <c r="E88" s="3">
        <f t="shared" ca="1" si="2"/>
        <v>10</v>
      </c>
      <c r="F88" s="4">
        <f ca="1">_xlfn.XLOOKUP(Orders[[#This Row],[ProductID]],Products!A:A,Products!D:D)</f>
        <v>15.5</v>
      </c>
      <c r="G88" t="str">
        <f ca="1">_xlfn.XLOOKUP(Orders[[#This Row],[CustomerID]],'Customers'!A:A,'Customers'!F:F)</f>
        <v>R02</v>
      </c>
      <c r="H88" t="str">
        <f>TEXT(Orders[[#This Row],[OrderDate]],"mmm")</f>
        <v>Feb</v>
      </c>
      <c r="I88" s="2">
        <f>YEAR(Orders[[#This Row],[OrderDate]])</f>
        <v>2025</v>
      </c>
      <c r="J88" s="4">
        <f ca="1">Orders[[#This Row],[Quantity]]*Orders[[#This Row],[UnitPrice]]</f>
        <v>155</v>
      </c>
      <c r="K88" s="4" t="str">
        <f ca="1">_xlfn.XLOOKUP(Orders[[#This Row],[CustomerID]],'Customers'!A:A,'Customers'!B:B)</f>
        <v>Ruby Scott</v>
      </c>
      <c r="L88" s="4" t="str">
        <f ca="1">_xlfn.XLOOKUP(Orders[[#This Row],[ProductID]],Products!A:A,Products!B:B)</f>
        <v>Notebook</v>
      </c>
      <c r="M88" s="4" t="str">
        <f ca="1">_xlfn.XLOOKUP(Orders[[#This Row],[ProductID]],Products!A:A,Products!C:C)</f>
        <v>Stationery</v>
      </c>
      <c r="N88" s="4" t="str">
        <f ca="1">_xlfn.XLOOKUP(Orders[[#This Row],[RegionID]],'Regions'!A:A,'Regions'!B:B)</f>
        <v>North West</v>
      </c>
    </row>
    <row r="89" spans="1:14" x14ac:dyDescent="0.25">
      <c r="A89" s="3">
        <v>1088</v>
      </c>
      <c r="B89" s="1">
        <v>45708</v>
      </c>
      <c r="C89" t="str">
        <f t="shared" ca="1" si="0"/>
        <v>C009</v>
      </c>
      <c r="D89" t="str">
        <f t="shared" ca="1" si="1"/>
        <v>P005</v>
      </c>
      <c r="E89" s="3">
        <f t="shared" ca="1" si="2"/>
        <v>7</v>
      </c>
      <c r="F89" s="4">
        <f ca="1">_xlfn.XLOOKUP(Orders[[#This Row],[ProductID]],Products!A:A,Products!D:D)</f>
        <v>9.99</v>
      </c>
      <c r="G89" t="str">
        <f ca="1">_xlfn.XLOOKUP(Orders[[#This Row],[CustomerID]],'Customers'!A:A,'Customers'!F:F)</f>
        <v>R04</v>
      </c>
      <c r="H89" t="str">
        <f>TEXT(Orders[[#This Row],[OrderDate]],"mmm")</f>
        <v>Feb</v>
      </c>
      <c r="I89" s="2">
        <f>YEAR(Orders[[#This Row],[OrderDate]])</f>
        <v>2025</v>
      </c>
      <c r="J89" s="4">
        <f ca="1">Orders[[#This Row],[Quantity]]*Orders[[#This Row],[UnitPrice]]</f>
        <v>69.930000000000007</v>
      </c>
      <c r="K89" s="4" t="str">
        <f ca="1">_xlfn.XLOOKUP(Orders[[#This Row],[CustomerID]],'Customers'!A:A,'Customers'!B:B)</f>
        <v>Charlie Evans</v>
      </c>
      <c r="L89" s="4" t="str">
        <f ca="1">_xlfn.XLOOKUP(Orders[[#This Row],[ProductID]],Products!A:A,Products!B:B)</f>
        <v>Coffee Mug</v>
      </c>
      <c r="M89" s="4" t="str">
        <f ca="1">_xlfn.XLOOKUP(Orders[[#This Row],[ProductID]],Products!A:A,Products!C:C)</f>
        <v>Home</v>
      </c>
      <c r="N89" s="4" t="str">
        <f ca="1">_xlfn.XLOOKUP(Orders[[#This Row],[RegionID]],'Regions'!A:A,'Regions'!B:B)</f>
        <v>Yorkshire</v>
      </c>
    </row>
    <row r="90" spans="1:14" x14ac:dyDescent="0.25">
      <c r="A90" s="3">
        <v>1089</v>
      </c>
      <c r="B90" s="1">
        <v>45709</v>
      </c>
      <c r="C90" t="str">
        <f t="shared" ca="1" si="0"/>
        <v>C005</v>
      </c>
      <c r="D90" t="str">
        <f t="shared" ca="1" si="1"/>
        <v>P011</v>
      </c>
      <c r="E90" s="3">
        <f t="shared" ca="1" si="2"/>
        <v>7</v>
      </c>
      <c r="F90" s="4">
        <f ca="1">_xlfn.XLOOKUP(Orders[[#This Row],[ProductID]],Products!A:A,Products!D:D)</f>
        <v>5.99</v>
      </c>
      <c r="G90" t="str">
        <f ca="1">_xlfn.XLOOKUP(Orders[[#This Row],[CustomerID]],'Customers'!A:A,'Customers'!F:F)</f>
        <v>R02</v>
      </c>
      <c r="H90" t="str">
        <f>TEXT(Orders[[#This Row],[OrderDate]],"mmm")</f>
        <v>Feb</v>
      </c>
      <c r="I90" s="2">
        <f>YEAR(Orders[[#This Row],[OrderDate]])</f>
        <v>2025</v>
      </c>
      <c r="J90" s="4">
        <f ca="1">Orders[[#This Row],[Quantity]]*Orders[[#This Row],[UnitPrice]]</f>
        <v>41.93</v>
      </c>
      <c r="K90" s="4" t="str">
        <f ca="1">_xlfn.XLOOKUP(Orders[[#This Row],[CustomerID]],'Customers'!A:A,'Customers'!B:B)</f>
        <v>Harry Jones</v>
      </c>
      <c r="L90" s="4" t="str">
        <f ca="1">_xlfn.XLOOKUP(Orders[[#This Row],[ProductID]],Products!A:A,Products!B:B)</f>
        <v>Pen Set</v>
      </c>
      <c r="M90" s="4" t="str">
        <f ca="1">_xlfn.XLOOKUP(Orders[[#This Row],[ProductID]],Products!A:A,Products!C:C)</f>
        <v>Stationery</v>
      </c>
      <c r="N90" s="4" t="str">
        <f ca="1">_xlfn.XLOOKUP(Orders[[#This Row],[RegionID]],'Regions'!A:A,'Regions'!B:B)</f>
        <v>North West</v>
      </c>
    </row>
    <row r="91" spans="1:14" x14ac:dyDescent="0.25">
      <c r="A91" s="3">
        <v>1090</v>
      </c>
      <c r="B91" s="1">
        <v>45712</v>
      </c>
      <c r="C91" t="str">
        <f t="shared" ca="1" si="0"/>
        <v>C004</v>
      </c>
      <c r="D91" t="str">
        <f t="shared" ca="1" si="1"/>
        <v>P015</v>
      </c>
      <c r="E91" s="3">
        <f t="shared" ca="1" si="2"/>
        <v>1</v>
      </c>
      <c r="F91" s="4">
        <f ca="1">_xlfn.XLOOKUP(Orders[[#This Row],[ProductID]],Products!A:A,Products!D:D)</f>
        <v>79.989999999999995</v>
      </c>
      <c r="G91" t="str">
        <f ca="1">_xlfn.XLOOKUP(Orders[[#This Row],[CustomerID]],'Customers'!A:A,'Customers'!F:F)</f>
        <v>R04</v>
      </c>
      <c r="H91" t="str">
        <f>TEXT(Orders[[#This Row],[OrderDate]],"mmm")</f>
        <v>Feb</v>
      </c>
      <c r="I91" s="2">
        <f>YEAR(Orders[[#This Row],[OrderDate]])</f>
        <v>2025</v>
      </c>
      <c r="J91" s="4">
        <f ca="1">Orders[[#This Row],[Quantity]]*Orders[[#This Row],[UnitPrice]]</f>
        <v>79.989999999999995</v>
      </c>
      <c r="K91" s="4" t="str">
        <f ca="1">_xlfn.XLOOKUP(Orders[[#This Row],[CustomerID]],'Customers'!A:A,'Customers'!B:B)</f>
        <v>Sophia Williams</v>
      </c>
      <c r="L91" s="4" t="str">
        <f ca="1">_xlfn.XLOOKUP(Orders[[#This Row],[ProductID]],Products!A:A,Products!B:B)</f>
        <v>Headphones</v>
      </c>
      <c r="M91" s="4" t="str">
        <f ca="1">_xlfn.XLOOKUP(Orders[[#This Row],[ProductID]],Products!A:A,Products!C:C)</f>
        <v>Electronics</v>
      </c>
      <c r="N91" s="4" t="str">
        <f ca="1">_xlfn.XLOOKUP(Orders[[#This Row],[RegionID]],'Regions'!A:A,'Regions'!B:B)</f>
        <v>Yorkshire</v>
      </c>
    </row>
    <row r="92" spans="1:14" x14ac:dyDescent="0.25">
      <c r="A92" s="3">
        <v>1091</v>
      </c>
      <c r="B92" s="1">
        <v>45713</v>
      </c>
      <c r="C92" t="str">
        <f t="shared" ca="1" si="0"/>
        <v>C013</v>
      </c>
      <c r="D92" t="str">
        <f t="shared" ca="1" si="1"/>
        <v>P020</v>
      </c>
      <c r="E92" s="3">
        <f t="shared" ca="1" si="2"/>
        <v>3</v>
      </c>
      <c r="F92" s="4">
        <f ca="1">_xlfn.XLOOKUP(Orders[[#This Row],[ProductID]],Products!A:A,Products!D:D)</f>
        <v>14.99</v>
      </c>
      <c r="G92" t="str">
        <f ca="1">_xlfn.XLOOKUP(Orders[[#This Row],[CustomerID]],'Customers'!A:A,'Customers'!F:F)</f>
        <v>R02</v>
      </c>
      <c r="H92" t="str">
        <f>TEXT(Orders[[#This Row],[OrderDate]],"mmm")</f>
        <v>Feb</v>
      </c>
      <c r="I92" s="2">
        <f>YEAR(Orders[[#This Row],[OrderDate]])</f>
        <v>2025</v>
      </c>
      <c r="J92" s="4">
        <f ca="1">Orders[[#This Row],[Quantity]]*Orders[[#This Row],[UnitPrice]]</f>
        <v>44.97</v>
      </c>
      <c r="K92" s="4" t="str">
        <f ca="1">_xlfn.XLOOKUP(Orders[[#This Row],[CustomerID]],'Customers'!A:A,'Customers'!B:B)</f>
        <v>Noah Martin</v>
      </c>
      <c r="L92" s="4" t="str">
        <f ca="1">_xlfn.XLOOKUP(Orders[[#This Row],[ProductID]],Products!A:A,Products!B:B)</f>
        <v>Extension Cable</v>
      </c>
      <c r="M92" s="4" t="str">
        <f ca="1">_xlfn.XLOOKUP(Orders[[#This Row],[ProductID]],Products!A:A,Products!C:C)</f>
        <v>Electronics</v>
      </c>
      <c r="N92" s="4" t="str">
        <f ca="1">_xlfn.XLOOKUP(Orders[[#This Row],[RegionID]],'Regions'!A:A,'Regions'!B:B)</f>
        <v>North West</v>
      </c>
    </row>
    <row r="93" spans="1:14" x14ac:dyDescent="0.25">
      <c r="A93" s="3">
        <v>1092</v>
      </c>
      <c r="B93" s="1">
        <v>45714</v>
      </c>
      <c r="C93" t="str">
        <f t="shared" ca="1" si="0"/>
        <v>C024</v>
      </c>
      <c r="D93" t="str">
        <f t="shared" ca="1" si="1"/>
        <v>P001</v>
      </c>
      <c r="E93" s="3">
        <f t="shared" ca="1" si="2"/>
        <v>5</v>
      </c>
      <c r="F93" s="4">
        <f ca="1">_xlfn.XLOOKUP(Orders[[#This Row],[ProductID]],Products!A:A,Products!D:D)</f>
        <v>25.99</v>
      </c>
      <c r="G93" t="str">
        <f ca="1">_xlfn.XLOOKUP(Orders[[#This Row],[CustomerID]],'Customers'!A:A,'Customers'!F:F)</f>
        <v>R01</v>
      </c>
      <c r="H93" t="str">
        <f>TEXT(Orders[[#This Row],[OrderDate]],"mmm")</f>
        <v>Feb</v>
      </c>
      <c r="I93" s="2">
        <f>YEAR(Orders[[#This Row],[OrderDate]])</f>
        <v>2025</v>
      </c>
      <c r="J93" s="4">
        <f ca="1">Orders[[#This Row],[Quantity]]*Orders[[#This Row],[UnitPrice]]</f>
        <v>129.94999999999999</v>
      </c>
      <c r="K93" s="4" t="str">
        <f ca="1">_xlfn.XLOOKUP(Orders[[#This Row],[CustomerID]],'Customers'!A:A,'Customers'!B:B)</f>
        <v>Isabella Allen</v>
      </c>
      <c r="L93" s="4" t="str">
        <f ca="1">_xlfn.XLOOKUP(Orders[[#This Row],[ProductID]],Products!A:A,Products!B:B)</f>
        <v>Wireless Mouse</v>
      </c>
      <c r="M93" s="4" t="str">
        <f ca="1">_xlfn.XLOOKUP(Orders[[#This Row],[ProductID]],Products!A:A,Products!C:C)</f>
        <v>Electronics</v>
      </c>
      <c r="N93" s="4" t="str">
        <f ca="1">_xlfn.XLOOKUP(Orders[[#This Row],[RegionID]],'Regions'!A:A,'Regions'!B:B)</f>
        <v>London</v>
      </c>
    </row>
    <row r="94" spans="1:14" x14ac:dyDescent="0.25">
      <c r="A94" s="3">
        <v>1093</v>
      </c>
      <c r="B94" s="1">
        <v>45715</v>
      </c>
      <c r="C94" t="str">
        <f t="shared" ca="1" si="0"/>
        <v>C011</v>
      </c>
      <c r="D94" t="str">
        <f t="shared" ca="1" si="1"/>
        <v>P019</v>
      </c>
      <c r="E94" s="3">
        <f t="shared" ca="1" si="2"/>
        <v>1</v>
      </c>
      <c r="F94" s="4">
        <f ca="1">_xlfn.XLOOKUP(Orders[[#This Row],[ProductID]],Products!A:A,Products!D:D)</f>
        <v>59.99</v>
      </c>
      <c r="G94" t="str">
        <f ca="1">_xlfn.XLOOKUP(Orders[[#This Row],[CustomerID]],'Customers'!A:A,'Customers'!F:F)</f>
        <v>R03</v>
      </c>
      <c r="H94" t="str">
        <f>TEXT(Orders[[#This Row],[OrderDate]],"mmm")</f>
        <v>Feb</v>
      </c>
      <c r="I94" s="2">
        <f>YEAR(Orders[[#This Row],[OrderDate]])</f>
        <v>2025</v>
      </c>
      <c r="J94" s="4">
        <f ca="1">Orders[[#This Row],[Quantity]]*Orders[[#This Row],[UnitPrice]]</f>
        <v>59.99</v>
      </c>
      <c r="K94" s="4" t="str">
        <f ca="1">_xlfn.XLOOKUP(Orders[[#This Row],[CustomerID]],'Customers'!A:A,'Customers'!B:B)</f>
        <v>George White</v>
      </c>
      <c r="L94" s="4" t="str">
        <f ca="1">_xlfn.XLOOKUP(Orders[[#This Row],[ProductID]],Products!A:A,Products!B:B)</f>
        <v>Webcam</v>
      </c>
      <c r="M94" s="4" t="str">
        <f ca="1">_xlfn.XLOOKUP(Orders[[#This Row],[ProductID]],Products!A:A,Products!C:C)</f>
        <v>Electronics</v>
      </c>
      <c r="N94" s="4" t="str">
        <f ca="1">_xlfn.XLOOKUP(Orders[[#This Row],[RegionID]],'Regions'!A:A,'Regions'!B:B)</f>
        <v>Midlands</v>
      </c>
    </row>
    <row r="95" spans="1:14" x14ac:dyDescent="0.25">
      <c r="A95" s="3">
        <v>1094</v>
      </c>
      <c r="B95" s="1">
        <v>45716</v>
      </c>
      <c r="C95" t="str">
        <f t="shared" ca="1" si="0"/>
        <v>C011</v>
      </c>
      <c r="D95" t="str">
        <f t="shared" ca="1" si="1"/>
        <v>P002</v>
      </c>
      <c r="E95" s="3">
        <f t="shared" ca="1" si="2"/>
        <v>7</v>
      </c>
      <c r="F95" s="4">
        <f ca="1">_xlfn.XLOOKUP(Orders[[#This Row],[ProductID]],Products!A:A,Products!D:D)</f>
        <v>15.5</v>
      </c>
      <c r="G95" t="str">
        <f ca="1">_xlfn.XLOOKUP(Orders[[#This Row],[CustomerID]],'Customers'!A:A,'Customers'!F:F)</f>
        <v>R03</v>
      </c>
      <c r="H95" t="str">
        <f>TEXT(Orders[[#This Row],[OrderDate]],"mmm")</f>
        <v>Feb</v>
      </c>
      <c r="I95" s="2">
        <f>YEAR(Orders[[#This Row],[OrderDate]])</f>
        <v>2025</v>
      </c>
      <c r="J95" s="4">
        <f ca="1">Orders[[#This Row],[Quantity]]*Orders[[#This Row],[UnitPrice]]</f>
        <v>108.5</v>
      </c>
      <c r="K95" s="4" t="str">
        <f ca="1">_xlfn.XLOOKUP(Orders[[#This Row],[CustomerID]],'Customers'!A:A,'Customers'!B:B)</f>
        <v>George White</v>
      </c>
      <c r="L95" s="4" t="str">
        <f ca="1">_xlfn.XLOOKUP(Orders[[#This Row],[ProductID]],Products!A:A,Products!B:B)</f>
        <v>Notebook</v>
      </c>
      <c r="M95" s="4" t="str">
        <f ca="1">_xlfn.XLOOKUP(Orders[[#This Row],[ProductID]],Products!A:A,Products!C:C)</f>
        <v>Stationery</v>
      </c>
      <c r="N95" s="4" t="str">
        <f ca="1">_xlfn.XLOOKUP(Orders[[#This Row],[RegionID]],'Regions'!A:A,'Regions'!B:B)</f>
        <v>Midlands</v>
      </c>
    </row>
    <row r="96" spans="1:14" x14ac:dyDescent="0.25">
      <c r="A96" s="3">
        <v>1095</v>
      </c>
      <c r="B96" s="1">
        <v>45719</v>
      </c>
      <c r="C96" t="str">
        <f t="shared" ca="1" si="0"/>
        <v>C020</v>
      </c>
      <c r="D96" t="str">
        <f t="shared" ca="1" si="1"/>
        <v>P013</v>
      </c>
      <c r="E96" s="3">
        <f t="shared" ca="1" si="2"/>
        <v>3</v>
      </c>
      <c r="F96" s="4">
        <f ca="1">_xlfn.XLOOKUP(Orders[[#This Row],[ProductID]],Products!A:A,Products!D:D)</f>
        <v>129.99</v>
      </c>
      <c r="G96" t="str">
        <f ca="1">_xlfn.XLOOKUP(Orders[[#This Row],[CustomerID]],'Customers'!A:A,'Customers'!F:F)</f>
        <v>R04</v>
      </c>
      <c r="H96" t="str">
        <f>TEXT(Orders[[#This Row],[OrderDate]],"mmm")</f>
        <v>Mar</v>
      </c>
      <c r="I96" s="2">
        <f>YEAR(Orders[[#This Row],[OrderDate]])</f>
        <v>2025</v>
      </c>
      <c r="J96" s="4">
        <f ca="1">Orders[[#This Row],[Quantity]]*Orders[[#This Row],[UnitPrice]]</f>
        <v>389.97</v>
      </c>
      <c r="K96" s="4" t="str">
        <f ca="1">_xlfn.XLOOKUP(Orders[[#This Row],[CustomerID]],'Customers'!A:A,'Customers'!B:B)</f>
        <v>Ella Lewis</v>
      </c>
      <c r="L96" s="4" t="str">
        <f ca="1">_xlfn.XLOOKUP(Orders[[#This Row],[ProductID]],Products!A:A,Products!B:B)</f>
        <v>Printer</v>
      </c>
      <c r="M96" s="4" t="str">
        <f ca="1">_xlfn.XLOOKUP(Orders[[#This Row],[ProductID]],Products!A:A,Products!C:C)</f>
        <v>Electronics</v>
      </c>
      <c r="N96" s="4" t="str">
        <f ca="1">_xlfn.XLOOKUP(Orders[[#This Row],[RegionID]],'Regions'!A:A,'Regions'!B:B)</f>
        <v>Yorkshire</v>
      </c>
    </row>
    <row r="97" spans="1:14" x14ac:dyDescent="0.25">
      <c r="A97" s="3">
        <v>1096</v>
      </c>
      <c r="B97" s="1">
        <v>45720</v>
      </c>
      <c r="C97" t="str">
        <f t="shared" ca="1" si="0"/>
        <v>C013</v>
      </c>
      <c r="D97" t="str">
        <f t="shared" ca="1" si="1"/>
        <v>P006</v>
      </c>
      <c r="E97" s="3">
        <f t="shared" ca="1" si="2"/>
        <v>10</v>
      </c>
      <c r="F97" s="4">
        <f ca="1">_xlfn.XLOOKUP(Orders[[#This Row],[ProductID]],Products!A:A,Products!D:D)</f>
        <v>49.99</v>
      </c>
      <c r="G97" t="str">
        <f ca="1">_xlfn.XLOOKUP(Orders[[#This Row],[CustomerID]],'Customers'!A:A,'Customers'!F:F)</f>
        <v>R02</v>
      </c>
      <c r="H97" t="str">
        <f>TEXT(Orders[[#This Row],[OrderDate]],"mmm")</f>
        <v>Mar</v>
      </c>
      <c r="I97" s="2">
        <f>YEAR(Orders[[#This Row],[OrderDate]])</f>
        <v>2025</v>
      </c>
      <c r="J97" s="4">
        <f ca="1">Orders[[#This Row],[Quantity]]*Orders[[#This Row],[UnitPrice]]</f>
        <v>499.90000000000003</v>
      </c>
      <c r="K97" s="4" t="str">
        <f ca="1">_xlfn.XLOOKUP(Orders[[#This Row],[CustomerID]],'Customers'!A:A,'Customers'!B:B)</f>
        <v>Noah Martin</v>
      </c>
      <c r="L97" s="4" t="str">
        <f ca="1">_xlfn.XLOOKUP(Orders[[#This Row],[ProductID]],Products!A:A,Products!B:B)</f>
        <v>Desk Lamp</v>
      </c>
      <c r="M97" s="4" t="str">
        <f ca="1">_xlfn.XLOOKUP(Orders[[#This Row],[ProductID]],Products!A:A,Products!C:C)</f>
        <v>Furniture</v>
      </c>
      <c r="N97" s="4" t="str">
        <f ca="1">_xlfn.XLOOKUP(Orders[[#This Row],[RegionID]],'Regions'!A:A,'Regions'!B:B)</f>
        <v>North West</v>
      </c>
    </row>
    <row r="98" spans="1:14" x14ac:dyDescent="0.25">
      <c r="A98" s="3">
        <v>1097</v>
      </c>
      <c r="B98" s="1">
        <v>45721</v>
      </c>
      <c r="C98" t="str">
        <f t="shared" ca="1" si="0"/>
        <v>C028</v>
      </c>
      <c r="D98" t="str">
        <f t="shared" ca="1" si="1"/>
        <v>P010</v>
      </c>
      <c r="E98" s="3">
        <f t="shared" ca="1" si="2"/>
        <v>9</v>
      </c>
      <c r="F98" s="4">
        <f ca="1">_xlfn.XLOOKUP(Orders[[#This Row],[ProductID]],Products!A:A,Products!D:D)</f>
        <v>39.99</v>
      </c>
      <c r="G98" t="str">
        <f ca="1">_xlfn.XLOOKUP(Orders[[#This Row],[CustomerID]],'Customers'!A:A,'Customers'!F:F)</f>
        <v>R02</v>
      </c>
      <c r="H98" t="str">
        <f>TEXT(Orders[[#This Row],[OrderDate]],"mmm")</f>
        <v>Mar</v>
      </c>
      <c r="I98" s="2">
        <f>YEAR(Orders[[#This Row],[OrderDate]])</f>
        <v>2025</v>
      </c>
      <c r="J98" s="4">
        <f ca="1">Orders[[#This Row],[Quantity]]*Orders[[#This Row],[UnitPrice]]</f>
        <v>359.91</v>
      </c>
      <c r="K98" s="4" t="str">
        <f ca="1">_xlfn.XLOOKUP(Orders[[#This Row],[CustomerID]],'Customers'!A:A,'Customers'!B:B)</f>
        <v>Ruby Scott</v>
      </c>
      <c r="L98" s="4" t="str">
        <f ca="1">_xlfn.XLOOKUP(Orders[[#This Row],[ProductID]],Products!A:A,Products!B:B)</f>
        <v>Backpack</v>
      </c>
      <c r="M98" s="4" t="str">
        <f ca="1">_xlfn.XLOOKUP(Orders[[#This Row],[ProductID]],Products!A:A,Products!C:C)</f>
        <v>Accessories</v>
      </c>
      <c r="N98" s="4" t="str">
        <f ca="1">_xlfn.XLOOKUP(Orders[[#This Row],[RegionID]],'Regions'!A:A,'Regions'!B:B)</f>
        <v>North West</v>
      </c>
    </row>
    <row r="99" spans="1:14" x14ac:dyDescent="0.25">
      <c r="A99" s="3">
        <v>1098</v>
      </c>
      <c r="B99" s="1">
        <v>45722</v>
      </c>
      <c r="C99" t="str">
        <f t="shared" ca="1" si="0"/>
        <v>C003</v>
      </c>
      <c r="D99" t="str">
        <f t="shared" ca="1" si="1"/>
        <v>P014</v>
      </c>
      <c r="E99" s="3">
        <f t="shared" ca="1" si="2"/>
        <v>5</v>
      </c>
      <c r="F99" s="4">
        <f ca="1">_xlfn.XLOOKUP(Orders[[#This Row],[ProductID]],Products!A:A,Products!D:D)</f>
        <v>19.989999999999998</v>
      </c>
      <c r="G99" t="str">
        <f ca="1">_xlfn.XLOOKUP(Orders[[#This Row],[CustomerID]],'Customers'!A:A,'Customers'!F:F)</f>
        <v>R03</v>
      </c>
      <c r="H99" t="str">
        <f>TEXT(Orders[[#This Row],[OrderDate]],"mmm")</f>
        <v>Mar</v>
      </c>
      <c r="I99" s="2">
        <f>YEAR(Orders[[#This Row],[OrderDate]])</f>
        <v>2025</v>
      </c>
      <c r="J99" s="4">
        <f ca="1">Orders[[#This Row],[Quantity]]*Orders[[#This Row],[UnitPrice]]</f>
        <v>99.949999999999989</v>
      </c>
      <c r="K99" s="4" t="str">
        <f ca="1">_xlfn.XLOOKUP(Orders[[#This Row],[CustomerID]],'Customers'!A:A,'Customers'!B:B)</f>
        <v>Oliver Brown</v>
      </c>
      <c r="L99" s="4" t="str">
        <f ca="1">_xlfn.XLOOKUP(Orders[[#This Row],[ProductID]],Products!A:A,Products!B:B)</f>
        <v>Desk Organizer</v>
      </c>
      <c r="M99" s="4" t="str">
        <f ca="1">_xlfn.XLOOKUP(Orders[[#This Row],[ProductID]],Products!A:A,Products!C:C)</f>
        <v>Office Supplies</v>
      </c>
      <c r="N99" s="4" t="str">
        <f ca="1">_xlfn.XLOOKUP(Orders[[#This Row],[RegionID]],'Regions'!A:A,'Regions'!B:B)</f>
        <v>Midlands</v>
      </c>
    </row>
    <row r="100" spans="1:14" x14ac:dyDescent="0.25">
      <c r="A100" s="3">
        <v>1099</v>
      </c>
      <c r="B100" s="1">
        <v>45723</v>
      </c>
      <c r="C100" t="str">
        <f t="shared" ca="1" si="0"/>
        <v>C010</v>
      </c>
      <c r="D100" t="str">
        <f t="shared" ca="1" si="1"/>
        <v>P005</v>
      </c>
      <c r="E100" s="3">
        <f t="shared" ca="1" si="2"/>
        <v>2</v>
      </c>
      <c r="F100" s="4">
        <f ca="1">_xlfn.XLOOKUP(Orders[[#This Row],[ProductID]],Products!A:A,Products!D:D)</f>
        <v>9.99</v>
      </c>
      <c r="G100" t="str">
        <f ca="1">_xlfn.XLOOKUP(Orders[[#This Row],[CustomerID]],'Customers'!A:A,'Customers'!F:F)</f>
        <v>R03</v>
      </c>
      <c r="H100" t="str">
        <f>TEXT(Orders[[#This Row],[OrderDate]],"mmm")</f>
        <v>Mar</v>
      </c>
      <c r="I100" s="2">
        <f>YEAR(Orders[[#This Row],[OrderDate]])</f>
        <v>2025</v>
      </c>
      <c r="J100" s="4">
        <f ca="1">Orders[[#This Row],[Quantity]]*Orders[[#This Row],[UnitPrice]]</f>
        <v>19.98</v>
      </c>
      <c r="K100" s="4" t="str">
        <f ca="1">_xlfn.XLOOKUP(Orders[[#This Row],[CustomerID]],'Customers'!A:A,'Customers'!B:B)</f>
        <v>Ava Thomas</v>
      </c>
      <c r="L100" s="4" t="str">
        <f ca="1">_xlfn.XLOOKUP(Orders[[#This Row],[ProductID]],Products!A:A,Products!B:B)</f>
        <v>Coffee Mug</v>
      </c>
      <c r="M100" s="4" t="str">
        <f ca="1">_xlfn.XLOOKUP(Orders[[#This Row],[ProductID]],Products!A:A,Products!C:C)</f>
        <v>Home</v>
      </c>
      <c r="N100" s="4" t="str">
        <f ca="1">_xlfn.XLOOKUP(Orders[[#This Row],[RegionID]],'Regions'!A:A,'Regions'!B:B)</f>
        <v>Midlands</v>
      </c>
    </row>
    <row r="101" spans="1:14" x14ac:dyDescent="0.25">
      <c r="A101" s="3">
        <v>1100</v>
      </c>
      <c r="B101" s="1">
        <v>45726</v>
      </c>
      <c r="C101" t="str">
        <f t="shared" ca="1" si="0"/>
        <v>C029</v>
      </c>
      <c r="D101" t="str">
        <f t="shared" ca="1" si="1"/>
        <v>P008</v>
      </c>
      <c r="E101" s="3">
        <f t="shared" ca="1" si="2"/>
        <v>4</v>
      </c>
      <c r="F101" s="4">
        <f ca="1">_xlfn.XLOOKUP(Orders[[#This Row],[ProductID]],Products!A:A,Products!D:D)</f>
        <v>149.99</v>
      </c>
      <c r="G101" t="str">
        <f ca="1">_xlfn.XLOOKUP(Orders[[#This Row],[CustomerID]],'Customers'!A:A,'Customers'!F:F)</f>
        <v>R04</v>
      </c>
      <c r="H101" t="str">
        <f>TEXT(Orders[[#This Row],[OrderDate]],"mmm")</f>
        <v>Mar</v>
      </c>
      <c r="I101" s="2">
        <f>YEAR(Orders[[#This Row],[OrderDate]])</f>
        <v>2025</v>
      </c>
      <c r="J101" s="4">
        <f ca="1">Orders[[#This Row],[Quantity]]*Orders[[#This Row],[UnitPrice]]</f>
        <v>599.96</v>
      </c>
      <c r="K101" s="4" t="str">
        <f ca="1">_xlfn.XLOOKUP(Orders[[#This Row],[CustomerID]],'Customers'!A:A,'Customers'!B:B)</f>
        <v>Jacob Green</v>
      </c>
      <c r="L101" s="4" t="str">
        <f ca="1">_xlfn.XLOOKUP(Orders[[#This Row],[ProductID]],Products!A:A,Products!B:B)</f>
        <v>Monitor 24 inch</v>
      </c>
      <c r="M101" s="4" t="str">
        <f ca="1">_xlfn.XLOOKUP(Orders[[#This Row],[ProductID]],Products!A:A,Products!C:C)</f>
        <v>Electronics</v>
      </c>
      <c r="N101" s="4" t="str">
        <f ca="1">_xlfn.XLOOKUP(Orders[[#This Row],[RegionID]],'Regions'!A:A,'Regions'!B:B)</f>
        <v>Yorkshire</v>
      </c>
    </row>
    <row r="102" spans="1:14" x14ac:dyDescent="0.25">
      <c r="A102" s="3">
        <v>1101</v>
      </c>
      <c r="B102" s="1">
        <v>45727</v>
      </c>
      <c r="C102" t="str">
        <f t="shared" ca="1" si="0"/>
        <v>C025</v>
      </c>
      <c r="D102" t="str">
        <f t="shared" ca="1" si="1"/>
        <v>P007</v>
      </c>
      <c r="E102" s="3">
        <f t="shared" ca="1" si="2"/>
        <v>2</v>
      </c>
      <c r="F102" s="4">
        <f ca="1">_xlfn.XLOOKUP(Orders[[#This Row],[ProductID]],Products!A:A,Products!D:D)</f>
        <v>45.99</v>
      </c>
      <c r="G102" t="str">
        <f ca="1">_xlfn.XLOOKUP(Orders[[#This Row],[CustomerID]],'Customers'!A:A,'Customers'!F:F)</f>
        <v>R05</v>
      </c>
      <c r="H102" t="str">
        <f>TEXT(Orders[[#This Row],[OrderDate]],"mmm")</f>
        <v>Mar</v>
      </c>
      <c r="I102" s="2">
        <f>YEAR(Orders[[#This Row],[OrderDate]])</f>
        <v>2025</v>
      </c>
      <c r="J102" s="4">
        <f ca="1">Orders[[#This Row],[Quantity]]*Orders[[#This Row],[UnitPrice]]</f>
        <v>91.98</v>
      </c>
      <c r="K102" s="4" t="str">
        <f ca="1">_xlfn.XLOOKUP(Orders[[#This Row],[CustomerID]],'Customers'!A:A,'Customers'!B:B)</f>
        <v>Theo Young</v>
      </c>
      <c r="L102" s="4" t="str">
        <f ca="1">_xlfn.XLOOKUP(Orders[[#This Row],[ProductID]],Products!A:A,Products!B:B)</f>
        <v>Bluetooth Keyboard</v>
      </c>
      <c r="M102" s="4" t="str">
        <f ca="1">_xlfn.XLOOKUP(Orders[[#This Row],[ProductID]],Products!A:A,Products!C:C)</f>
        <v>Electronics</v>
      </c>
      <c r="N102" s="4" t="str">
        <f ca="1">_xlfn.XLOOKUP(Orders[[#This Row],[RegionID]],'Regions'!A:A,'Regions'!B:B)</f>
        <v>Scotland</v>
      </c>
    </row>
    <row r="103" spans="1:14" x14ac:dyDescent="0.25">
      <c r="A103" s="3">
        <v>1102</v>
      </c>
      <c r="B103" s="1">
        <v>45728</v>
      </c>
      <c r="C103" t="str">
        <f t="shared" ca="1" si="0"/>
        <v>C004</v>
      </c>
      <c r="D103" t="str">
        <f t="shared" ca="1" si="1"/>
        <v>P003</v>
      </c>
      <c r="E103" s="3">
        <f t="shared" ca="1" si="2"/>
        <v>6</v>
      </c>
      <c r="F103" s="4">
        <f ca="1">_xlfn.XLOOKUP(Orders[[#This Row],[ProductID]],Products!A:A,Products!D:D)</f>
        <v>199.99</v>
      </c>
      <c r="G103" t="str">
        <f ca="1">_xlfn.XLOOKUP(Orders[[#This Row],[CustomerID]],'Customers'!A:A,'Customers'!F:F)</f>
        <v>R04</v>
      </c>
      <c r="H103" t="str">
        <f>TEXT(Orders[[#This Row],[OrderDate]],"mmm")</f>
        <v>Mar</v>
      </c>
      <c r="I103" s="2">
        <f>YEAR(Orders[[#This Row],[OrderDate]])</f>
        <v>2025</v>
      </c>
      <c r="J103" s="4">
        <f ca="1">Orders[[#This Row],[Quantity]]*Orders[[#This Row],[UnitPrice]]</f>
        <v>1199.94</v>
      </c>
      <c r="K103" s="4" t="str">
        <f ca="1">_xlfn.XLOOKUP(Orders[[#This Row],[CustomerID]],'Customers'!A:A,'Customers'!B:B)</f>
        <v>Sophia Williams</v>
      </c>
      <c r="L103" s="4" t="str">
        <f ca="1">_xlfn.XLOOKUP(Orders[[#This Row],[ProductID]],Products!A:A,Products!B:B)</f>
        <v>Smartphone</v>
      </c>
      <c r="M103" s="4" t="str">
        <f ca="1">_xlfn.XLOOKUP(Orders[[#This Row],[ProductID]],Products!A:A,Products!C:C)</f>
        <v>Electronics</v>
      </c>
      <c r="N103" s="4" t="str">
        <f ca="1">_xlfn.XLOOKUP(Orders[[#This Row],[RegionID]],'Regions'!A:A,'Regions'!B:B)</f>
        <v>Yorkshire</v>
      </c>
    </row>
    <row r="104" spans="1:14" x14ac:dyDescent="0.25">
      <c r="A104" s="3">
        <v>1103</v>
      </c>
      <c r="B104" s="1">
        <v>45729</v>
      </c>
      <c r="C104" t="str">
        <f t="shared" ca="1" si="0"/>
        <v>C006</v>
      </c>
      <c r="D104" t="str">
        <f t="shared" ca="1" si="1"/>
        <v>P018</v>
      </c>
      <c r="E104" s="3">
        <f t="shared" ca="1" si="2"/>
        <v>9</v>
      </c>
      <c r="F104" s="4">
        <f ca="1">_xlfn.XLOOKUP(Orders[[#This Row],[ProductID]],Products!A:A,Products!D:D)</f>
        <v>29.99</v>
      </c>
      <c r="G104" t="str">
        <f ca="1">_xlfn.XLOOKUP(Orders[[#This Row],[CustomerID]],'Customers'!A:A,'Customers'!F:F)</f>
        <v>R03</v>
      </c>
      <c r="H104" t="str">
        <f>TEXT(Orders[[#This Row],[OrderDate]],"mmm")</f>
        <v>Mar</v>
      </c>
      <c r="I104" s="2">
        <f>YEAR(Orders[[#This Row],[OrderDate]])</f>
        <v>2025</v>
      </c>
      <c r="J104" s="4">
        <f ca="1">Orders[[#This Row],[Quantity]]*Orders[[#This Row],[UnitPrice]]</f>
        <v>269.90999999999997</v>
      </c>
      <c r="K104" s="4" t="str">
        <f ca="1">_xlfn.XLOOKUP(Orders[[#This Row],[CustomerID]],'Customers'!A:A,'Customers'!B:B)</f>
        <v>Amelia Taylor</v>
      </c>
      <c r="L104" s="4" t="str">
        <f ca="1">_xlfn.XLOOKUP(Orders[[#This Row],[ProductID]],Products!A:A,Products!B:B)</f>
        <v>Laptop Stand</v>
      </c>
      <c r="M104" s="4" t="str">
        <f ca="1">_xlfn.XLOOKUP(Orders[[#This Row],[ProductID]],Products!A:A,Products!C:C)</f>
        <v>Accessories</v>
      </c>
      <c r="N104" s="4" t="str">
        <f ca="1">_xlfn.XLOOKUP(Orders[[#This Row],[RegionID]],'Regions'!A:A,'Regions'!B:B)</f>
        <v>Midlands</v>
      </c>
    </row>
    <row r="105" spans="1:14" x14ac:dyDescent="0.25">
      <c r="A105" s="3">
        <v>1104</v>
      </c>
      <c r="B105" s="1">
        <v>45730</v>
      </c>
      <c r="C105" t="str">
        <f t="shared" ca="1" si="0"/>
        <v>C009</v>
      </c>
      <c r="D105" t="str">
        <f t="shared" ca="1" si="1"/>
        <v>P014</v>
      </c>
      <c r="E105" s="3">
        <f t="shared" ca="1" si="2"/>
        <v>4</v>
      </c>
      <c r="F105" s="4">
        <f ca="1">_xlfn.XLOOKUP(Orders[[#This Row],[ProductID]],Products!A:A,Products!D:D)</f>
        <v>19.989999999999998</v>
      </c>
      <c r="G105" t="str">
        <f ca="1">_xlfn.XLOOKUP(Orders[[#This Row],[CustomerID]],'Customers'!A:A,'Customers'!F:F)</f>
        <v>R04</v>
      </c>
      <c r="H105" t="str">
        <f>TEXT(Orders[[#This Row],[OrderDate]],"mmm")</f>
        <v>Mar</v>
      </c>
      <c r="I105" s="2">
        <f>YEAR(Orders[[#This Row],[OrderDate]])</f>
        <v>2025</v>
      </c>
      <c r="J105" s="4">
        <f ca="1">Orders[[#This Row],[Quantity]]*Orders[[#This Row],[UnitPrice]]</f>
        <v>79.959999999999994</v>
      </c>
      <c r="K105" s="4" t="str">
        <f ca="1">_xlfn.XLOOKUP(Orders[[#This Row],[CustomerID]],'Customers'!A:A,'Customers'!B:B)</f>
        <v>Charlie Evans</v>
      </c>
      <c r="L105" s="4" t="str">
        <f ca="1">_xlfn.XLOOKUP(Orders[[#This Row],[ProductID]],Products!A:A,Products!B:B)</f>
        <v>Desk Organizer</v>
      </c>
      <c r="M105" s="4" t="str">
        <f ca="1">_xlfn.XLOOKUP(Orders[[#This Row],[ProductID]],Products!A:A,Products!C:C)</f>
        <v>Office Supplies</v>
      </c>
      <c r="N105" s="4" t="str">
        <f ca="1">_xlfn.XLOOKUP(Orders[[#This Row],[RegionID]],'Regions'!A:A,'Regions'!B:B)</f>
        <v>Yorkshire</v>
      </c>
    </row>
    <row r="106" spans="1:14" x14ac:dyDescent="0.25">
      <c r="A106" s="3">
        <v>1105</v>
      </c>
      <c r="B106" s="1">
        <v>45733</v>
      </c>
      <c r="C106" t="str">
        <f t="shared" ca="1" si="0"/>
        <v>C017</v>
      </c>
      <c r="D106" t="str">
        <f t="shared" ca="1" si="1"/>
        <v>P007</v>
      </c>
      <c r="E106" s="3">
        <f t="shared" ca="1" si="2"/>
        <v>2</v>
      </c>
      <c r="F106" s="4">
        <f ca="1">_xlfn.XLOOKUP(Orders[[#This Row],[ProductID]],Products!A:A,Products!D:D)</f>
        <v>45.99</v>
      </c>
      <c r="G106" t="str">
        <f ca="1">_xlfn.XLOOKUP(Orders[[#This Row],[CustomerID]],'Customers'!A:A,'Customers'!F:F)</f>
        <v>R03</v>
      </c>
      <c r="H106" t="str">
        <f>TEXT(Orders[[#This Row],[OrderDate]],"mmm")</f>
        <v>Mar</v>
      </c>
      <c r="I106" s="2">
        <f>YEAR(Orders[[#This Row],[OrderDate]])</f>
        <v>2025</v>
      </c>
      <c r="J106" s="4">
        <f ca="1">Orders[[#This Row],[Quantity]]*Orders[[#This Row],[UnitPrice]]</f>
        <v>91.98</v>
      </c>
      <c r="K106" s="4" t="str">
        <f ca="1">_xlfn.XLOOKUP(Orders[[#This Row],[CustomerID]],'Customers'!A:A,'Customers'!B:B)</f>
        <v>Leo Robinson</v>
      </c>
      <c r="L106" s="4" t="str">
        <f ca="1">_xlfn.XLOOKUP(Orders[[#This Row],[ProductID]],Products!A:A,Products!B:B)</f>
        <v>Bluetooth Keyboard</v>
      </c>
      <c r="M106" s="4" t="str">
        <f ca="1">_xlfn.XLOOKUP(Orders[[#This Row],[ProductID]],Products!A:A,Products!C:C)</f>
        <v>Electronics</v>
      </c>
      <c r="N106" s="4" t="str">
        <f ca="1">_xlfn.XLOOKUP(Orders[[#This Row],[RegionID]],'Regions'!A:A,'Regions'!B:B)</f>
        <v>Midlands</v>
      </c>
    </row>
    <row r="107" spans="1:14" x14ac:dyDescent="0.25">
      <c r="A107" s="3">
        <v>1106</v>
      </c>
      <c r="B107" s="1">
        <v>45734</v>
      </c>
      <c r="C107" t="str">
        <f t="shared" ca="1" si="0"/>
        <v>C020</v>
      </c>
      <c r="D107" t="str">
        <f t="shared" ca="1" si="1"/>
        <v>P007</v>
      </c>
      <c r="E107" s="3">
        <f t="shared" ca="1" si="2"/>
        <v>9</v>
      </c>
      <c r="F107" s="4">
        <f ca="1">_xlfn.XLOOKUP(Orders[[#This Row],[ProductID]],Products!A:A,Products!D:D)</f>
        <v>45.99</v>
      </c>
      <c r="G107" t="str">
        <f ca="1">_xlfn.XLOOKUP(Orders[[#This Row],[CustomerID]],'Customers'!A:A,'Customers'!F:F)</f>
        <v>R04</v>
      </c>
      <c r="H107" t="str">
        <f>TEXT(Orders[[#This Row],[OrderDate]],"mmm")</f>
        <v>Mar</v>
      </c>
      <c r="I107" s="2">
        <f>YEAR(Orders[[#This Row],[OrderDate]])</f>
        <v>2025</v>
      </c>
      <c r="J107" s="4">
        <f ca="1">Orders[[#This Row],[Quantity]]*Orders[[#This Row],[UnitPrice]]</f>
        <v>413.91</v>
      </c>
      <c r="K107" s="4" t="str">
        <f ca="1">_xlfn.XLOOKUP(Orders[[#This Row],[CustomerID]],'Customers'!A:A,'Customers'!B:B)</f>
        <v>Ella Lewis</v>
      </c>
      <c r="L107" s="4" t="str">
        <f ca="1">_xlfn.XLOOKUP(Orders[[#This Row],[ProductID]],Products!A:A,Products!B:B)</f>
        <v>Bluetooth Keyboard</v>
      </c>
      <c r="M107" s="4" t="str">
        <f ca="1">_xlfn.XLOOKUP(Orders[[#This Row],[ProductID]],Products!A:A,Products!C:C)</f>
        <v>Electronics</v>
      </c>
      <c r="N107" s="4" t="str">
        <f ca="1">_xlfn.XLOOKUP(Orders[[#This Row],[RegionID]],'Regions'!A:A,'Regions'!B:B)</f>
        <v>Yorkshire</v>
      </c>
    </row>
    <row r="108" spans="1:14" x14ac:dyDescent="0.25">
      <c r="A108" s="3">
        <v>1107</v>
      </c>
      <c r="B108" s="1">
        <v>45735</v>
      </c>
      <c r="C108" t="str">
        <f t="shared" ca="1" si="0"/>
        <v>C028</v>
      </c>
      <c r="D108" t="str">
        <f t="shared" ca="1" si="1"/>
        <v>P015</v>
      </c>
      <c r="E108" s="3">
        <f t="shared" ca="1" si="2"/>
        <v>7</v>
      </c>
      <c r="F108" s="4">
        <f ca="1">_xlfn.XLOOKUP(Orders[[#This Row],[ProductID]],Products!A:A,Products!D:D)</f>
        <v>79.989999999999995</v>
      </c>
      <c r="G108" t="str">
        <f ca="1">_xlfn.XLOOKUP(Orders[[#This Row],[CustomerID]],'Customers'!A:A,'Customers'!F:F)</f>
        <v>R02</v>
      </c>
      <c r="H108" t="str">
        <f>TEXT(Orders[[#This Row],[OrderDate]],"mmm")</f>
        <v>Mar</v>
      </c>
      <c r="I108" s="2">
        <f>YEAR(Orders[[#This Row],[OrderDate]])</f>
        <v>2025</v>
      </c>
      <c r="J108" s="4">
        <f ca="1">Orders[[#This Row],[Quantity]]*Orders[[#This Row],[UnitPrice]]</f>
        <v>559.92999999999995</v>
      </c>
      <c r="K108" s="4" t="str">
        <f ca="1">_xlfn.XLOOKUP(Orders[[#This Row],[CustomerID]],'Customers'!A:A,'Customers'!B:B)</f>
        <v>Ruby Scott</v>
      </c>
      <c r="L108" s="4" t="str">
        <f ca="1">_xlfn.XLOOKUP(Orders[[#This Row],[ProductID]],Products!A:A,Products!B:B)</f>
        <v>Headphones</v>
      </c>
      <c r="M108" s="4" t="str">
        <f ca="1">_xlfn.XLOOKUP(Orders[[#This Row],[ProductID]],Products!A:A,Products!C:C)</f>
        <v>Electronics</v>
      </c>
      <c r="N108" s="4" t="str">
        <f ca="1">_xlfn.XLOOKUP(Orders[[#This Row],[RegionID]],'Regions'!A:A,'Regions'!B:B)</f>
        <v>North West</v>
      </c>
    </row>
    <row r="109" spans="1:14" x14ac:dyDescent="0.25">
      <c r="A109" s="3">
        <v>1108</v>
      </c>
      <c r="B109" s="1">
        <v>45736</v>
      </c>
      <c r="C109" t="str">
        <f t="shared" ca="1" si="0"/>
        <v>C012</v>
      </c>
      <c r="D109" t="str">
        <f t="shared" ca="1" si="1"/>
        <v>P013</v>
      </c>
      <c r="E109" s="3">
        <f t="shared" ca="1" si="2"/>
        <v>5</v>
      </c>
      <c r="F109" s="4">
        <f ca="1">_xlfn.XLOOKUP(Orders[[#This Row],[ProductID]],Products!A:A,Products!D:D)</f>
        <v>129.99</v>
      </c>
      <c r="G109" t="str">
        <f ca="1">_xlfn.XLOOKUP(Orders[[#This Row],[CustomerID]],'Customers'!A:A,'Customers'!F:F)</f>
        <v>R03</v>
      </c>
      <c r="H109" t="str">
        <f>TEXT(Orders[[#This Row],[OrderDate]],"mmm")</f>
        <v>Mar</v>
      </c>
      <c r="I109" s="2">
        <f>YEAR(Orders[[#This Row],[OrderDate]])</f>
        <v>2025</v>
      </c>
      <c r="J109" s="4">
        <f ca="1">Orders[[#This Row],[Quantity]]*Orders[[#This Row],[UnitPrice]]</f>
        <v>649.95000000000005</v>
      </c>
      <c r="K109" s="4" t="str">
        <f ca="1">_xlfn.XLOOKUP(Orders[[#This Row],[CustomerID]],'Customers'!A:A,'Customers'!B:B)</f>
        <v>Mia Harris</v>
      </c>
      <c r="L109" s="4" t="str">
        <f ca="1">_xlfn.XLOOKUP(Orders[[#This Row],[ProductID]],Products!A:A,Products!B:B)</f>
        <v>Printer</v>
      </c>
      <c r="M109" s="4" t="str">
        <f ca="1">_xlfn.XLOOKUP(Orders[[#This Row],[ProductID]],Products!A:A,Products!C:C)</f>
        <v>Electronics</v>
      </c>
      <c r="N109" s="4" t="str">
        <f ca="1">_xlfn.XLOOKUP(Orders[[#This Row],[RegionID]],'Regions'!A:A,'Regions'!B:B)</f>
        <v>Midlands</v>
      </c>
    </row>
    <row r="110" spans="1:14" x14ac:dyDescent="0.25">
      <c r="A110" s="3">
        <v>1109</v>
      </c>
      <c r="B110" s="1">
        <v>45737</v>
      </c>
      <c r="C110" t="str">
        <f t="shared" ca="1" si="0"/>
        <v>C018</v>
      </c>
      <c r="D110" t="str">
        <f t="shared" ca="1" si="1"/>
        <v>P014</v>
      </c>
      <c r="E110" s="3">
        <f t="shared" ca="1" si="2"/>
        <v>4</v>
      </c>
      <c r="F110" s="4">
        <f ca="1">_xlfn.XLOOKUP(Orders[[#This Row],[ProductID]],Products!A:A,Products!D:D)</f>
        <v>19.989999999999998</v>
      </c>
      <c r="G110" t="str">
        <f ca="1">_xlfn.XLOOKUP(Orders[[#This Row],[CustomerID]],'Customers'!A:A,'Customers'!F:F)</f>
        <v>R02</v>
      </c>
      <c r="H110" t="str">
        <f>TEXT(Orders[[#This Row],[OrderDate]],"mmm")</f>
        <v>Mar</v>
      </c>
      <c r="I110" s="2">
        <f>YEAR(Orders[[#This Row],[OrderDate]])</f>
        <v>2025</v>
      </c>
      <c r="J110" s="4">
        <f ca="1">Orders[[#This Row],[Quantity]]*Orders[[#This Row],[UnitPrice]]</f>
        <v>79.959999999999994</v>
      </c>
      <c r="K110" s="4" t="str">
        <f ca="1">_xlfn.XLOOKUP(Orders[[#This Row],[CustomerID]],'Customers'!A:A,'Customers'!B:B)</f>
        <v>Chloe Clark</v>
      </c>
      <c r="L110" s="4" t="str">
        <f ca="1">_xlfn.XLOOKUP(Orders[[#This Row],[ProductID]],Products!A:A,Products!B:B)</f>
        <v>Desk Organizer</v>
      </c>
      <c r="M110" s="4" t="str">
        <f ca="1">_xlfn.XLOOKUP(Orders[[#This Row],[ProductID]],Products!A:A,Products!C:C)</f>
        <v>Office Supplies</v>
      </c>
      <c r="N110" s="4" t="str">
        <f ca="1">_xlfn.XLOOKUP(Orders[[#This Row],[RegionID]],'Regions'!A:A,'Regions'!B:B)</f>
        <v>North West</v>
      </c>
    </row>
    <row r="111" spans="1:14" x14ac:dyDescent="0.25">
      <c r="A111" s="3">
        <v>1110</v>
      </c>
      <c r="B111" s="1">
        <v>45740</v>
      </c>
      <c r="C111" t="str">
        <f t="shared" ca="1" si="0"/>
        <v>C020</v>
      </c>
      <c r="D111" t="str">
        <f t="shared" ca="1" si="1"/>
        <v>P011</v>
      </c>
      <c r="E111" s="3">
        <f t="shared" ca="1" si="2"/>
        <v>6</v>
      </c>
      <c r="F111" s="4">
        <f ca="1">_xlfn.XLOOKUP(Orders[[#This Row],[ProductID]],Products!A:A,Products!D:D)</f>
        <v>5.99</v>
      </c>
      <c r="G111" t="str">
        <f ca="1">_xlfn.XLOOKUP(Orders[[#This Row],[CustomerID]],'Customers'!A:A,'Customers'!F:F)</f>
        <v>R04</v>
      </c>
      <c r="H111" t="str">
        <f>TEXT(Orders[[#This Row],[OrderDate]],"mmm")</f>
        <v>Mar</v>
      </c>
      <c r="I111" s="2">
        <f>YEAR(Orders[[#This Row],[OrderDate]])</f>
        <v>2025</v>
      </c>
      <c r="J111" s="4">
        <f ca="1">Orders[[#This Row],[Quantity]]*Orders[[#This Row],[UnitPrice]]</f>
        <v>35.94</v>
      </c>
      <c r="K111" s="4" t="str">
        <f ca="1">_xlfn.XLOOKUP(Orders[[#This Row],[CustomerID]],'Customers'!A:A,'Customers'!B:B)</f>
        <v>Ella Lewis</v>
      </c>
      <c r="L111" s="4" t="str">
        <f ca="1">_xlfn.XLOOKUP(Orders[[#This Row],[ProductID]],Products!A:A,Products!B:B)</f>
        <v>Pen Set</v>
      </c>
      <c r="M111" s="4" t="str">
        <f ca="1">_xlfn.XLOOKUP(Orders[[#This Row],[ProductID]],Products!A:A,Products!C:C)</f>
        <v>Stationery</v>
      </c>
      <c r="N111" s="4" t="str">
        <f ca="1">_xlfn.XLOOKUP(Orders[[#This Row],[RegionID]],'Regions'!A:A,'Regions'!B:B)</f>
        <v>Yorkshire</v>
      </c>
    </row>
    <row r="112" spans="1:14" x14ac:dyDescent="0.25">
      <c r="A112" s="3">
        <v>1111</v>
      </c>
      <c r="B112" s="1">
        <v>45741</v>
      </c>
      <c r="C112" t="str">
        <f t="shared" ca="1" si="0"/>
        <v>C022</v>
      </c>
      <c r="D112" t="str">
        <f t="shared" ca="1" si="1"/>
        <v>P003</v>
      </c>
      <c r="E112" s="3">
        <f t="shared" ca="1" si="2"/>
        <v>3</v>
      </c>
      <c r="F112" s="4">
        <f ca="1">_xlfn.XLOOKUP(Orders[[#This Row],[ProductID]],Products!A:A,Products!D:D)</f>
        <v>199.99</v>
      </c>
      <c r="G112" t="str">
        <f ca="1">_xlfn.XLOOKUP(Orders[[#This Row],[CustomerID]],'Customers'!A:A,'Customers'!F:F)</f>
        <v>R03</v>
      </c>
      <c r="H112" t="str">
        <f>TEXT(Orders[[#This Row],[OrderDate]],"mmm")</f>
        <v>Mar</v>
      </c>
      <c r="I112" s="2">
        <f>YEAR(Orders[[#This Row],[OrderDate]])</f>
        <v>2025</v>
      </c>
      <c r="J112" s="4">
        <f ca="1">Orders[[#This Row],[Quantity]]*Orders[[#This Row],[UnitPrice]]</f>
        <v>599.97</v>
      </c>
      <c r="K112" s="4" t="str">
        <f ca="1">_xlfn.XLOOKUP(Orders[[#This Row],[CustomerID]],'Customers'!A:A,'Customers'!B:B)</f>
        <v>Evie Walker</v>
      </c>
      <c r="L112" s="4" t="str">
        <f ca="1">_xlfn.XLOOKUP(Orders[[#This Row],[ProductID]],Products!A:A,Products!B:B)</f>
        <v>Smartphone</v>
      </c>
      <c r="M112" s="4" t="str">
        <f ca="1">_xlfn.XLOOKUP(Orders[[#This Row],[ProductID]],Products!A:A,Products!C:C)</f>
        <v>Electronics</v>
      </c>
      <c r="N112" s="4" t="str">
        <f ca="1">_xlfn.XLOOKUP(Orders[[#This Row],[RegionID]],'Regions'!A:A,'Regions'!B:B)</f>
        <v>Midlands</v>
      </c>
    </row>
    <row r="113" spans="1:14" x14ac:dyDescent="0.25">
      <c r="A113" s="3">
        <v>1112</v>
      </c>
      <c r="B113" s="1">
        <v>45742</v>
      </c>
      <c r="C113" t="str">
        <f t="shared" ca="1" si="0"/>
        <v>C003</v>
      </c>
      <c r="D113" t="str">
        <f t="shared" ca="1" si="1"/>
        <v>P018</v>
      </c>
      <c r="E113" s="3">
        <f t="shared" ca="1" si="2"/>
        <v>5</v>
      </c>
      <c r="F113" s="4">
        <f ca="1">_xlfn.XLOOKUP(Orders[[#This Row],[ProductID]],Products!A:A,Products!D:D)</f>
        <v>29.99</v>
      </c>
      <c r="G113" t="str">
        <f ca="1">_xlfn.XLOOKUP(Orders[[#This Row],[CustomerID]],'Customers'!A:A,'Customers'!F:F)</f>
        <v>R03</v>
      </c>
      <c r="H113" t="str">
        <f>TEXT(Orders[[#This Row],[OrderDate]],"mmm")</f>
        <v>Mar</v>
      </c>
      <c r="I113" s="2">
        <f>YEAR(Orders[[#This Row],[OrderDate]])</f>
        <v>2025</v>
      </c>
      <c r="J113" s="4">
        <f ca="1">Orders[[#This Row],[Quantity]]*Orders[[#This Row],[UnitPrice]]</f>
        <v>149.94999999999999</v>
      </c>
      <c r="K113" s="4" t="str">
        <f ca="1">_xlfn.XLOOKUP(Orders[[#This Row],[CustomerID]],'Customers'!A:A,'Customers'!B:B)</f>
        <v>Oliver Brown</v>
      </c>
      <c r="L113" s="4" t="str">
        <f ca="1">_xlfn.XLOOKUP(Orders[[#This Row],[ProductID]],Products!A:A,Products!B:B)</f>
        <v>Laptop Stand</v>
      </c>
      <c r="M113" s="4" t="str">
        <f ca="1">_xlfn.XLOOKUP(Orders[[#This Row],[ProductID]],Products!A:A,Products!C:C)</f>
        <v>Accessories</v>
      </c>
      <c r="N113" s="4" t="str">
        <f ca="1">_xlfn.XLOOKUP(Orders[[#This Row],[RegionID]],'Regions'!A:A,'Regions'!B:B)</f>
        <v>Midlands</v>
      </c>
    </row>
    <row r="114" spans="1:14" x14ac:dyDescent="0.25">
      <c r="A114" s="3">
        <v>1113</v>
      </c>
      <c r="B114" s="1">
        <v>45743</v>
      </c>
      <c r="C114" t="str">
        <f t="shared" ca="1" si="0"/>
        <v>C009</v>
      </c>
      <c r="D114" t="str">
        <f t="shared" ca="1" si="1"/>
        <v>P005</v>
      </c>
      <c r="E114" s="3">
        <f t="shared" ca="1" si="2"/>
        <v>4</v>
      </c>
      <c r="F114" s="4">
        <f ca="1">_xlfn.XLOOKUP(Orders[[#This Row],[ProductID]],Products!A:A,Products!D:D)</f>
        <v>9.99</v>
      </c>
      <c r="G114" t="str">
        <f ca="1">_xlfn.XLOOKUP(Orders[[#This Row],[CustomerID]],'Customers'!A:A,'Customers'!F:F)</f>
        <v>R04</v>
      </c>
      <c r="H114" t="str">
        <f>TEXT(Orders[[#This Row],[OrderDate]],"mmm")</f>
        <v>Mar</v>
      </c>
      <c r="I114" s="2">
        <f>YEAR(Orders[[#This Row],[OrderDate]])</f>
        <v>2025</v>
      </c>
      <c r="J114" s="4">
        <f ca="1">Orders[[#This Row],[Quantity]]*Orders[[#This Row],[UnitPrice]]</f>
        <v>39.96</v>
      </c>
      <c r="K114" s="4" t="str">
        <f ca="1">_xlfn.XLOOKUP(Orders[[#This Row],[CustomerID]],'Customers'!A:A,'Customers'!B:B)</f>
        <v>Charlie Evans</v>
      </c>
      <c r="L114" s="4" t="str">
        <f ca="1">_xlfn.XLOOKUP(Orders[[#This Row],[ProductID]],Products!A:A,Products!B:B)</f>
        <v>Coffee Mug</v>
      </c>
      <c r="M114" s="4" t="str">
        <f ca="1">_xlfn.XLOOKUP(Orders[[#This Row],[ProductID]],Products!A:A,Products!C:C)</f>
        <v>Home</v>
      </c>
      <c r="N114" s="4" t="str">
        <f ca="1">_xlfn.XLOOKUP(Orders[[#This Row],[RegionID]],'Regions'!A:A,'Regions'!B:B)</f>
        <v>Yorkshire</v>
      </c>
    </row>
    <row r="115" spans="1:14" x14ac:dyDescent="0.25">
      <c r="A115" s="3">
        <v>1114</v>
      </c>
      <c r="B115" s="1">
        <v>45744</v>
      </c>
      <c r="C115" t="str">
        <f t="shared" ca="1" si="0"/>
        <v>C016</v>
      </c>
      <c r="D115" t="str">
        <f t="shared" ca="1" si="1"/>
        <v>P015</v>
      </c>
      <c r="E115" s="3">
        <f t="shared" ca="1" si="2"/>
        <v>8</v>
      </c>
      <c r="F115" s="4">
        <f ca="1">_xlfn.XLOOKUP(Orders[[#This Row],[ProductID]],Products!A:A,Products!D:D)</f>
        <v>79.989999999999995</v>
      </c>
      <c r="G115" t="str">
        <f ca="1">_xlfn.XLOOKUP(Orders[[#This Row],[CustomerID]],'Customers'!A:A,'Customers'!F:F)</f>
        <v>R01</v>
      </c>
      <c r="H115" t="str">
        <f>TEXT(Orders[[#This Row],[OrderDate]],"mmm")</f>
        <v>Mar</v>
      </c>
      <c r="I115" s="2">
        <f>YEAR(Orders[[#This Row],[OrderDate]])</f>
        <v>2025</v>
      </c>
      <c r="J115" s="4">
        <f ca="1">Orders[[#This Row],[Quantity]]*Orders[[#This Row],[UnitPrice]]</f>
        <v>639.91999999999996</v>
      </c>
      <c r="K115" s="4" t="str">
        <f ca="1">_xlfn.XLOOKUP(Orders[[#This Row],[CustomerID]],'Customers'!A:A,'Customers'!B:B)</f>
        <v>Grace Martinez</v>
      </c>
      <c r="L115" s="4" t="str">
        <f ca="1">_xlfn.XLOOKUP(Orders[[#This Row],[ProductID]],Products!A:A,Products!B:B)</f>
        <v>Headphones</v>
      </c>
      <c r="M115" s="4" t="str">
        <f ca="1">_xlfn.XLOOKUP(Orders[[#This Row],[ProductID]],Products!A:A,Products!C:C)</f>
        <v>Electronics</v>
      </c>
      <c r="N115" s="4" t="str">
        <f ca="1">_xlfn.XLOOKUP(Orders[[#This Row],[RegionID]],'Regions'!A:A,'Regions'!B:B)</f>
        <v>London</v>
      </c>
    </row>
    <row r="116" spans="1:14" x14ac:dyDescent="0.25">
      <c r="A116" s="3">
        <v>1115</v>
      </c>
      <c r="B116" s="1">
        <v>45747</v>
      </c>
      <c r="C116" t="str">
        <f t="shared" ca="1" si="0"/>
        <v>C009</v>
      </c>
      <c r="D116" t="str">
        <f t="shared" ca="1" si="1"/>
        <v>P016</v>
      </c>
      <c r="E116" s="3">
        <f t="shared" ca="1" si="2"/>
        <v>1</v>
      </c>
      <c r="F116" s="4">
        <f ca="1">_xlfn.XLOOKUP(Orders[[#This Row],[ProductID]],Products!A:A,Products!D:D)</f>
        <v>399.99</v>
      </c>
      <c r="G116" t="str">
        <f ca="1">_xlfn.XLOOKUP(Orders[[#This Row],[CustomerID]],'Customers'!A:A,'Customers'!F:F)</f>
        <v>R04</v>
      </c>
      <c r="H116" t="str">
        <f>TEXT(Orders[[#This Row],[OrderDate]],"mmm")</f>
        <v>Mar</v>
      </c>
      <c r="I116" s="2">
        <f>YEAR(Orders[[#This Row],[OrderDate]])</f>
        <v>2025</v>
      </c>
      <c r="J116" s="4">
        <f ca="1">Orders[[#This Row],[Quantity]]*Orders[[#This Row],[UnitPrice]]</f>
        <v>399.99</v>
      </c>
      <c r="K116" s="4" t="str">
        <f ca="1">_xlfn.XLOOKUP(Orders[[#This Row],[CustomerID]],'Customers'!A:A,'Customers'!B:B)</f>
        <v>Charlie Evans</v>
      </c>
      <c r="L116" s="4" t="str">
        <f ca="1">_xlfn.XLOOKUP(Orders[[#This Row],[ProductID]],Products!A:A,Products!B:B)</f>
        <v>Standing Desk</v>
      </c>
      <c r="M116" s="4" t="str">
        <f ca="1">_xlfn.XLOOKUP(Orders[[#This Row],[ProductID]],Products!A:A,Products!C:C)</f>
        <v>Furniture</v>
      </c>
      <c r="N116" s="4" t="str">
        <f ca="1">_xlfn.XLOOKUP(Orders[[#This Row],[RegionID]],'Regions'!A:A,'Regions'!B:B)</f>
        <v>Yorkshire</v>
      </c>
    </row>
    <row r="117" spans="1:14" x14ac:dyDescent="0.25">
      <c r="A117" s="3">
        <v>1116</v>
      </c>
      <c r="B117" s="1">
        <v>45748</v>
      </c>
      <c r="C117" t="str">
        <f t="shared" ca="1" si="0"/>
        <v>C021</v>
      </c>
      <c r="D117" t="str">
        <f t="shared" ca="1" si="1"/>
        <v>P014</v>
      </c>
      <c r="E117" s="3">
        <f t="shared" ca="1" si="2"/>
        <v>8</v>
      </c>
      <c r="F117" s="4">
        <f ca="1">_xlfn.XLOOKUP(Orders[[#This Row],[ProductID]],Products!A:A,Products!D:D)</f>
        <v>19.989999999999998</v>
      </c>
      <c r="G117" t="str">
        <f ca="1">_xlfn.XLOOKUP(Orders[[#This Row],[CustomerID]],'Customers'!A:A,'Customers'!F:F)</f>
        <v>R04</v>
      </c>
      <c r="H117" t="str">
        <f>TEXT(Orders[[#This Row],[OrderDate]],"mmm")</f>
        <v>Apr</v>
      </c>
      <c r="I117" s="2">
        <f>YEAR(Orders[[#This Row],[OrderDate]])</f>
        <v>2025</v>
      </c>
      <c r="J117" s="4">
        <f ca="1">Orders[[#This Row],[Quantity]]*Orders[[#This Row],[UnitPrice]]</f>
        <v>159.91999999999999</v>
      </c>
      <c r="K117" s="4" t="str">
        <f ca="1">_xlfn.XLOOKUP(Orders[[#This Row],[CustomerID]],'Customers'!A:A,'Customers'!B:B)</f>
        <v>Alfie Lee</v>
      </c>
      <c r="L117" s="4" t="str">
        <f ca="1">_xlfn.XLOOKUP(Orders[[#This Row],[ProductID]],Products!A:A,Products!B:B)</f>
        <v>Desk Organizer</v>
      </c>
      <c r="M117" s="4" t="str">
        <f ca="1">_xlfn.XLOOKUP(Orders[[#This Row],[ProductID]],Products!A:A,Products!C:C)</f>
        <v>Office Supplies</v>
      </c>
      <c r="N117" s="4" t="str">
        <f ca="1">_xlfn.XLOOKUP(Orders[[#This Row],[RegionID]],'Regions'!A:A,'Regions'!B:B)</f>
        <v>Yorkshire</v>
      </c>
    </row>
    <row r="118" spans="1:14" x14ac:dyDescent="0.25">
      <c r="A118" s="3">
        <v>1117</v>
      </c>
      <c r="B118" s="1">
        <v>45749</v>
      </c>
      <c r="C118" t="str">
        <f t="shared" ca="1" si="0"/>
        <v>C023</v>
      </c>
      <c r="D118" t="str">
        <f t="shared" ca="1" si="1"/>
        <v>P005</v>
      </c>
      <c r="E118" s="3">
        <f t="shared" ca="1" si="2"/>
        <v>10</v>
      </c>
      <c r="F118" s="4">
        <f ca="1">_xlfn.XLOOKUP(Orders[[#This Row],[ProductID]],Products!A:A,Products!D:D)</f>
        <v>9.99</v>
      </c>
      <c r="G118" t="str">
        <f ca="1">_xlfn.XLOOKUP(Orders[[#This Row],[CustomerID]],'Customers'!A:A,'Customers'!F:F)</f>
        <v>R03</v>
      </c>
      <c r="H118" t="str">
        <f>TEXT(Orders[[#This Row],[OrderDate]],"mmm")</f>
        <v>Apr</v>
      </c>
      <c r="I118" s="2">
        <f>YEAR(Orders[[#This Row],[OrderDate]])</f>
        <v>2025</v>
      </c>
      <c r="J118" s="4">
        <f ca="1">Orders[[#This Row],[Quantity]]*Orders[[#This Row],[UnitPrice]]</f>
        <v>99.9</v>
      </c>
      <c r="K118" s="4" t="str">
        <f ca="1">_xlfn.XLOOKUP(Orders[[#This Row],[CustomerID]],'Customers'!A:A,'Customers'!B:B)</f>
        <v>Arthur Hall</v>
      </c>
      <c r="L118" s="4" t="str">
        <f ca="1">_xlfn.XLOOKUP(Orders[[#This Row],[ProductID]],Products!A:A,Products!B:B)</f>
        <v>Coffee Mug</v>
      </c>
      <c r="M118" s="4" t="str">
        <f ca="1">_xlfn.XLOOKUP(Orders[[#This Row],[ProductID]],Products!A:A,Products!C:C)</f>
        <v>Home</v>
      </c>
      <c r="N118" s="4" t="str">
        <f ca="1">_xlfn.XLOOKUP(Orders[[#This Row],[RegionID]],'Regions'!A:A,'Regions'!B:B)</f>
        <v>Midlands</v>
      </c>
    </row>
    <row r="119" spans="1:14" x14ac:dyDescent="0.25">
      <c r="A119" s="3">
        <v>1118</v>
      </c>
      <c r="B119" s="1">
        <v>45750</v>
      </c>
      <c r="C119" t="str">
        <f t="shared" ca="1" si="0"/>
        <v>C029</v>
      </c>
      <c r="D119" t="str">
        <f t="shared" ca="1" si="1"/>
        <v>P006</v>
      </c>
      <c r="E119" s="3">
        <f t="shared" ca="1" si="2"/>
        <v>8</v>
      </c>
      <c r="F119" s="4">
        <f ca="1">_xlfn.XLOOKUP(Orders[[#This Row],[ProductID]],Products!A:A,Products!D:D)</f>
        <v>49.99</v>
      </c>
      <c r="G119" t="str">
        <f ca="1">_xlfn.XLOOKUP(Orders[[#This Row],[CustomerID]],'Customers'!A:A,'Customers'!F:F)</f>
        <v>R04</v>
      </c>
      <c r="H119" t="str">
        <f>TEXT(Orders[[#This Row],[OrderDate]],"mmm")</f>
        <v>Apr</v>
      </c>
      <c r="I119" s="2">
        <f>YEAR(Orders[[#This Row],[OrderDate]])</f>
        <v>2025</v>
      </c>
      <c r="J119" s="4">
        <f ca="1">Orders[[#This Row],[Quantity]]*Orders[[#This Row],[UnitPrice]]</f>
        <v>399.92</v>
      </c>
      <c r="K119" s="4" t="str">
        <f ca="1">_xlfn.XLOOKUP(Orders[[#This Row],[CustomerID]],'Customers'!A:A,'Customers'!B:B)</f>
        <v>Jacob Green</v>
      </c>
      <c r="L119" s="4" t="str">
        <f ca="1">_xlfn.XLOOKUP(Orders[[#This Row],[ProductID]],Products!A:A,Products!B:B)</f>
        <v>Desk Lamp</v>
      </c>
      <c r="M119" s="4" t="str">
        <f ca="1">_xlfn.XLOOKUP(Orders[[#This Row],[ProductID]],Products!A:A,Products!C:C)</f>
        <v>Furniture</v>
      </c>
      <c r="N119" s="4" t="str">
        <f ca="1">_xlfn.XLOOKUP(Orders[[#This Row],[RegionID]],'Regions'!A:A,'Regions'!B:B)</f>
        <v>Yorkshire</v>
      </c>
    </row>
    <row r="120" spans="1:14" x14ac:dyDescent="0.25">
      <c r="A120" s="3">
        <v>1119</v>
      </c>
      <c r="B120" s="1">
        <v>45751</v>
      </c>
      <c r="C120" t="str">
        <f t="shared" ca="1" si="0"/>
        <v>C013</v>
      </c>
      <c r="D120" t="str">
        <f t="shared" ca="1" si="1"/>
        <v>P006</v>
      </c>
      <c r="E120" s="3">
        <f t="shared" ca="1" si="2"/>
        <v>1</v>
      </c>
      <c r="F120" s="4">
        <f ca="1">_xlfn.XLOOKUP(Orders[[#This Row],[ProductID]],Products!A:A,Products!D:D)</f>
        <v>49.99</v>
      </c>
      <c r="G120" t="str">
        <f ca="1">_xlfn.XLOOKUP(Orders[[#This Row],[CustomerID]],'Customers'!A:A,'Customers'!F:F)</f>
        <v>R02</v>
      </c>
      <c r="H120" t="str">
        <f>TEXT(Orders[[#This Row],[OrderDate]],"mmm")</f>
        <v>Apr</v>
      </c>
      <c r="I120" s="2">
        <f>YEAR(Orders[[#This Row],[OrderDate]])</f>
        <v>2025</v>
      </c>
      <c r="J120" s="4">
        <f ca="1">Orders[[#This Row],[Quantity]]*Orders[[#This Row],[UnitPrice]]</f>
        <v>49.99</v>
      </c>
      <c r="K120" s="4" t="str">
        <f ca="1">_xlfn.XLOOKUP(Orders[[#This Row],[CustomerID]],'Customers'!A:A,'Customers'!B:B)</f>
        <v>Noah Martin</v>
      </c>
      <c r="L120" s="4" t="str">
        <f ca="1">_xlfn.XLOOKUP(Orders[[#This Row],[ProductID]],Products!A:A,Products!B:B)</f>
        <v>Desk Lamp</v>
      </c>
      <c r="M120" s="4" t="str">
        <f ca="1">_xlfn.XLOOKUP(Orders[[#This Row],[ProductID]],Products!A:A,Products!C:C)</f>
        <v>Furniture</v>
      </c>
      <c r="N120" s="4" t="str">
        <f ca="1">_xlfn.XLOOKUP(Orders[[#This Row],[RegionID]],'Regions'!A:A,'Regions'!B:B)</f>
        <v>North West</v>
      </c>
    </row>
    <row r="121" spans="1:14" x14ac:dyDescent="0.25">
      <c r="A121" s="3">
        <v>1120</v>
      </c>
      <c r="B121" s="1">
        <v>45754</v>
      </c>
      <c r="C121" t="str">
        <f t="shared" ca="1" si="0"/>
        <v>C006</v>
      </c>
      <c r="D121" t="str">
        <f t="shared" ca="1" si="1"/>
        <v>P010</v>
      </c>
      <c r="E121" s="3">
        <f t="shared" ca="1" si="2"/>
        <v>8</v>
      </c>
      <c r="F121" s="4">
        <f ca="1">_xlfn.XLOOKUP(Orders[[#This Row],[ProductID]],Products!A:A,Products!D:D)</f>
        <v>39.99</v>
      </c>
      <c r="G121" t="str">
        <f ca="1">_xlfn.XLOOKUP(Orders[[#This Row],[CustomerID]],'Customers'!A:A,'Customers'!F:F)</f>
        <v>R03</v>
      </c>
      <c r="H121" t="str">
        <f>TEXT(Orders[[#This Row],[OrderDate]],"mmm")</f>
        <v>Apr</v>
      </c>
      <c r="I121" s="2">
        <f>YEAR(Orders[[#This Row],[OrderDate]])</f>
        <v>2025</v>
      </c>
      <c r="J121" s="4">
        <f ca="1">Orders[[#This Row],[Quantity]]*Orders[[#This Row],[UnitPrice]]</f>
        <v>319.92</v>
      </c>
      <c r="K121" s="4" t="str">
        <f ca="1">_xlfn.XLOOKUP(Orders[[#This Row],[CustomerID]],'Customers'!A:A,'Customers'!B:B)</f>
        <v>Amelia Taylor</v>
      </c>
      <c r="L121" s="4" t="str">
        <f ca="1">_xlfn.XLOOKUP(Orders[[#This Row],[ProductID]],Products!A:A,Products!B:B)</f>
        <v>Backpack</v>
      </c>
      <c r="M121" s="4" t="str">
        <f ca="1">_xlfn.XLOOKUP(Orders[[#This Row],[ProductID]],Products!A:A,Products!C:C)</f>
        <v>Accessories</v>
      </c>
      <c r="N121" s="4" t="str">
        <f ca="1">_xlfn.XLOOKUP(Orders[[#This Row],[RegionID]],'Regions'!A:A,'Regions'!B:B)</f>
        <v>Midlands</v>
      </c>
    </row>
    <row r="122" spans="1:14" x14ac:dyDescent="0.25">
      <c r="A122" s="3">
        <v>1121</v>
      </c>
      <c r="B122" s="1">
        <v>45755</v>
      </c>
      <c r="C122" t="str">
        <f t="shared" ca="1" si="0"/>
        <v>C002</v>
      </c>
      <c r="D122" t="str">
        <f t="shared" ca="1" si="1"/>
        <v>P002</v>
      </c>
      <c r="E122" s="3">
        <f t="shared" ca="1" si="2"/>
        <v>9</v>
      </c>
      <c r="F122" s="4">
        <f ca="1">_xlfn.XLOOKUP(Orders[[#This Row],[ProductID]],Products!A:A,Products!D:D)</f>
        <v>15.5</v>
      </c>
      <c r="G122" t="str">
        <f ca="1">_xlfn.XLOOKUP(Orders[[#This Row],[CustomerID]],'Customers'!A:A,'Customers'!F:F)</f>
        <v>R02</v>
      </c>
      <c r="H122" t="str">
        <f>TEXT(Orders[[#This Row],[OrderDate]],"mmm")</f>
        <v>Apr</v>
      </c>
      <c r="I122" s="2">
        <f>YEAR(Orders[[#This Row],[OrderDate]])</f>
        <v>2025</v>
      </c>
      <c r="J122" s="4">
        <f ca="1">Orders[[#This Row],[Quantity]]*Orders[[#This Row],[UnitPrice]]</f>
        <v>139.5</v>
      </c>
      <c r="K122" s="4" t="str">
        <f ca="1">_xlfn.XLOOKUP(Orders[[#This Row],[CustomerID]],'Customers'!A:A,'Customers'!B:B)</f>
        <v>Emily Johnson</v>
      </c>
      <c r="L122" s="4" t="str">
        <f ca="1">_xlfn.XLOOKUP(Orders[[#This Row],[ProductID]],Products!A:A,Products!B:B)</f>
        <v>Notebook</v>
      </c>
      <c r="M122" s="4" t="str">
        <f ca="1">_xlfn.XLOOKUP(Orders[[#This Row],[ProductID]],Products!A:A,Products!C:C)</f>
        <v>Stationery</v>
      </c>
      <c r="N122" s="4" t="str">
        <f ca="1">_xlfn.XLOOKUP(Orders[[#This Row],[RegionID]],'Regions'!A:A,'Regions'!B:B)</f>
        <v>North West</v>
      </c>
    </row>
    <row r="123" spans="1:14" x14ac:dyDescent="0.25">
      <c r="A123" s="3">
        <v>1122</v>
      </c>
      <c r="B123" s="1">
        <v>45756</v>
      </c>
      <c r="C123" t="str">
        <f t="shared" ca="1" si="0"/>
        <v>C002</v>
      </c>
      <c r="D123" t="str">
        <f t="shared" ca="1" si="1"/>
        <v>P017</v>
      </c>
      <c r="E123" s="3">
        <f t="shared" ca="1" si="2"/>
        <v>5</v>
      </c>
      <c r="F123" s="4">
        <f ca="1">_xlfn.XLOOKUP(Orders[[#This Row],[ProductID]],Products!A:A,Products!D:D)</f>
        <v>3.99</v>
      </c>
      <c r="G123" t="str">
        <f ca="1">_xlfn.XLOOKUP(Orders[[#This Row],[CustomerID]],'Customers'!A:A,'Customers'!F:F)</f>
        <v>R02</v>
      </c>
      <c r="H123" t="str">
        <f>TEXT(Orders[[#This Row],[OrderDate]],"mmm")</f>
        <v>Apr</v>
      </c>
      <c r="I123" s="2">
        <f>YEAR(Orders[[#This Row],[OrderDate]])</f>
        <v>2025</v>
      </c>
      <c r="J123" s="4">
        <f ca="1">Orders[[#This Row],[Quantity]]*Orders[[#This Row],[UnitPrice]]</f>
        <v>19.950000000000003</v>
      </c>
      <c r="K123" s="4" t="str">
        <f ca="1">_xlfn.XLOOKUP(Orders[[#This Row],[CustomerID]],'Customers'!A:A,'Customers'!B:B)</f>
        <v>Emily Johnson</v>
      </c>
      <c r="L123" s="4" t="str">
        <f ca="1">_xlfn.XLOOKUP(Orders[[#This Row],[ProductID]],Products!A:A,Products!B:B)</f>
        <v>Sticky Notes</v>
      </c>
      <c r="M123" s="4" t="str">
        <f ca="1">_xlfn.XLOOKUP(Orders[[#This Row],[ProductID]],Products!A:A,Products!C:C)</f>
        <v>Stationery</v>
      </c>
      <c r="N123" s="4" t="str">
        <f ca="1">_xlfn.XLOOKUP(Orders[[#This Row],[RegionID]],'Regions'!A:A,'Regions'!B:B)</f>
        <v>North West</v>
      </c>
    </row>
    <row r="124" spans="1:14" x14ac:dyDescent="0.25">
      <c r="A124" s="3">
        <v>1123</v>
      </c>
      <c r="B124" s="1">
        <v>45757</v>
      </c>
      <c r="C124" t="str">
        <f t="shared" ca="1" si="0"/>
        <v>C002</v>
      </c>
      <c r="D124" t="str">
        <f t="shared" ca="1" si="1"/>
        <v>P020</v>
      </c>
      <c r="E124" s="3">
        <f t="shared" ca="1" si="2"/>
        <v>4</v>
      </c>
      <c r="F124" s="4">
        <f ca="1">_xlfn.XLOOKUP(Orders[[#This Row],[ProductID]],Products!A:A,Products!D:D)</f>
        <v>14.99</v>
      </c>
      <c r="G124" t="str">
        <f ca="1">_xlfn.XLOOKUP(Orders[[#This Row],[CustomerID]],'Customers'!A:A,'Customers'!F:F)</f>
        <v>R02</v>
      </c>
      <c r="H124" t="str">
        <f>TEXT(Orders[[#This Row],[OrderDate]],"mmm")</f>
        <v>Apr</v>
      </c>
      <c r="I124" s="2">
        <f>YEAR(Orders[[#This Row],[OrderDate]])</f>
        <v>2025</v>
      </c>
      <c r="J124" s="4">
        <f ca="1">Orders[[#This Row],[Quantity]]*Orders[[#This Row],[UnitPrice]]</f>
        <v>59.96</v>
      </c>
      <c r="K124" s="4" t="str">
        <f ca="1">_xlfn.XLOOKUP(Orders[[#This Row],[CustomerID]],'Customers'!A:A,'Customers'!B:B)</f>
        <v>Emily Johnson</v>
      </c>
      <c r="L124" s="4" t="str">
        <f ca="1">_xlfn.XLOOKUP(Orders[[#This Row],[ProductID]],Products!A:A,Products!B:B)</f>
        <v>Extension Cable</v>
      </c>
      <c r="M124" s="4" t="str">
        <f ca="1">_xlfn.XLOOKUP(Orders[[#This Row],[ProductID]],Products!A:A,Products!C:C)</f>
        <v>Electronics</v>
      </c>
      <c r="N124" s="4" t="str">
        <f ca="1">_xlfn.XLOOKUP(Orders[[#This Row],[RegionID]],'Regions'!A:A,'Regions'!B:B)</f>
        <v>North West</v>
      </c>
    </row>
    <row r="125" spans="1:14" x14ac:dyDescent="0.25">
      <c r="A125" s="3">
        <v>1124</v>
      </c>
      <c r="B125" s="1">
        <v>45758</v>
      </c>
      <c r="C125" t="str">
        <f t="shared" ca="1" si="0"/>
        <v>C019</v>
      </c>
      <c r="D125" t="str">
        <f t="shared" ca="1" si="1"/>
        <v>P020</v>
      </c>
      <c r="E125" s="3">
        <f t="shared" ca="1" si="2"/>
        <v>8</v>
      </c>
      <c r="F125" s="4">
        <f ca="1">_xlfn.XLOOKUP(Orders[[#This Row],[ProductID]],Products!A:A,Products!D:D)</f>
        <v>14.99</v>
      </c>
      <c r="G125" t="str">
        <f ca="1">_xlfn.XLOOKUP(Orders[[#This Row],[CustomerID]],'Customers'!A:A,'Customers'!F:F)</f>
        <v>R02</v>
      </c>
      <c r="H125" t="str">
        <f>TEXT(Orders[[#This Row],[OrderDate]],"mmm")</f>
        <v>Apr</v>
      </c>
      <c r="I125" s="2">
        <f>YEAR(Orders[[#This Row],[OrderDate]])</f>
        <v>2025</v>
      </c>
      <c r="J125" s="4">
        <f ca="1">Orders[[#This Row],[Quantity]]*Orders[[#This Row],[UnitPrice]]</f>
        <v>119.92</v>
      </c>
      <c r="K125" s="4" t="str">
        <f ca="1">_xlfn.XLOOKUP(Orders[[#This Row],[CustomerID]],'Customers'!A:A,'Customers'!B:B)</f>
        <v>Freddie Rodriguez</v>
      </c>
      <c r="L125" s="4" t="str">
        <f ca="1">_xlfn.XLOOKUP(Orders[[#This Row],[ProductID]],Products!A:A,Products!B:B)</f>
        <v>Extension Cable</v>
      </c>
      <c r="M125" s="4" t="str">
        <f ca="1">_xlfn.XLOOKUP(Orders[[#This Row],[ProductID]],Products!A:A,Products!C:C)</f>
        <v>Electronics</v>
      </c>
      <c r="N125" s="4" t="str">
        <f ca="1">_xlfn.XLOOKUP(Orders[[#This Row],[RegionID]],'Regions'!A:A,'Regions'!B:B)</f>
        <v>North West</v>
      </c>
    </row>
    <row r="126" spans="1:14" x14ac:dyDescent="0.25">
      <c r="A126" s="3">
        <v>1125</v>
      </c>
      <c r="B126" s="1">
        <v>45761</v>
      </c>
      <c r="C126" t="str">
        <f t="shared" ca="1" si="0"/>
        <v>C019</v>
      </c>
      <c r="D126" t="str">
        <f t="shared" ca="1" si="1"/>
        <v>P013</v>
      </c>
      <c r="E126" s="3">
        <f t="shared" ca="1" si="2"/>
        <v>5</v>
      </c>
      <c r="F126" s="4">
        <f ca="1">_xlfn.XLOOKUP(Orders[[#This Row],[ProductID]],Products!A:A,Products!D:D)</f>
        <v>129.99</v>
      </c>
      <c r="G126" t="str">
        <f ca="1">_xlfn.XLOOKUP(Orders[[#This Row],[CustomerID]],'Customers'!A:A,'Customers'!F:F)</f>
        <v>R02</v>
      </c>
      <c r="H126" t="str">
        <f>TEXT(Orders[[#This Row],[OrderDate]],"mmm")</f>
        <v>Apr</v>
      </c>
      <c r="I126" s="2">
        <f>YEAR(Orders[[#This Row],[OrderDate]])</f>
        <v>2025</v>
      </c>
      <c r="J126" s="4">
        <f ca="1">Orders[[#This Row],[Quantity]]*Orders[[#This Row],[UnitPrice]]</f>
        <v>649.95000000000005</v>
      </c>
      <c r="K126" s="4" t="str">
        <f ca="1">_xlfn.XLOOKUP(Orders[[#This Row],[CustomerID]],'Customers'!A:A,'Customers'!B:B)</f>
        <v>Freddie Rodriguez</v>
      </c>
      <c r="L126" s="4" t="str">
        <f ca="1">_xlfn.XLOOKUP(Orders[[#This Row],[ProductID]],Products!A:A,Products!B:B)</f>
        <v>Printer</v>
      </c>
      <c r="M126" s="4" t="str">
        <f ca="1">_xlfn.XLOOKUP(Orders[[#This Row],[ProductID]],Products!A:A,Products!C:C)</f>
        <v>Electronics</v>
      </c>
      <c r="N126" s="4" t="str">
        <f ca="1">_xlfn.XLOOKUP(Orders[[#This Row],[RegionID]],'Regions'!A:A,'Regions'!B:B)</f>
        <v>North West</v>
      </c>
    </row>
    <row r="127" spans="1:14" x14ac:dyDescent="0.25">
      <c r="A127" s="3">
        <v>1126</v>
      </c>
      <c r="B127" s="1">
        <v>45762</v>
      </c>
      <c r="C127" t="str">
        <f t="shared" ca="1" si="0"/>
        <v>C008</v>
      </c>
      <c r="D127" t="str">
        <f t="shared" ca="1" si="1"/>
        <v>P016</v>
      </c>
      <c r="E127" s="3">
        <f t="shared" ca="1" si="2"/>
        <v>2</v>
      </c>
      <c r="F127" s="4">
        <f ca="1">_xlfn.XLOOKUP(Orders[[#This Row],[ProductID]],Products!A:A,Products!D:D)</f>
        <v>399.99</v>
      </c>
      <c r="G127" t="str">
        <f ca="1">_xlfn.XLOOKUP(Orders[[#This Row],[CustomerID]],'Customers'!A:A,'Customers'!F:F)</f>
        <v>R01</v>
      </c>
      <c r="H127" t="str">
        <f>TEXT(Orders[[#This Row],[OrderDate]],"mmm")</f>
        <v>Apr</v>
      </c>
      <c r="I127" s="2">
        <f>YEAR(Orders[[#This Row],[OrderDate]])</f>
        <v>2025</v>
      </c>
      <c r="J127" s="4">
        <f ca="1">Orders[[#This Row],[Quantity]]*Orders[[#This Row],[UnitPrice]]</f>
        <v>799.98</v>
      </c>
      <c r="K127" s="4" t="str">
        <f ca="1">_xlfn.XLOOKUP(Orders[[#This Row],[CustomerID]],'Customers'!A:A,'Customers'!B:B)</f>
        <v>Isla Wilson</v>
      </c>
      <c r="L127" s="4" t="str">
        <f ca="1">_xlfn.XLOOKUP(Orders[[#This Row],[ProductID]],Products!A:A,Products!B:B)</f>
        <v>Standing Desk</v>
      </c>
      <c r="M127" s="4" t="str">
        <f ca="1">_xlfn.XLOOKUP(Orders[[#This Row],[ProductID]],Products!A:A,Products!C:C)</f>
        <v>Furniture</v>
      </c>
      <c r="N127" s="4" t="str">
        <f ca="1">_xlfn.XLOOKUP(Orders[[#This Row],[RegionID]],'Regions'!A:A,'Regions'!B:B)</f>
        <v>London</v>
      </c>
    </row>
    <row r="128" spans="1:14" x14ac:dyDescent="0.25">
      <c r="A128" s="3">
        <v>1127</v>
      </c>
      <c r="B128" s="1">
        <v>45763</v>
      </c>
      <c r="C128" t="str">
        <f t="shared" ca="1" si="0"/>
        <v>C028</v>
      </c>
      <c r="D128" t="str">
        <f t="shared" ca="1" si="1"/>
        <v>P006</v>
      </c>
      <c r="E128" s="3">
        <f t="shared" ca="1" si="2"/>
        <v>8</v>
      </c>
      <c r="F128" s="4">
        <f ca="1">_xlfn.XLOOKUP(Orders[[#This Row],[ProductID]],Products!A:A,Products!D:D)</f>
        <v>49.99</v>
      </c>
      <c r="G128" t="str">
        <f ca="1">_xlfn.XLOOKUP(Orders[[#This Row],[CustomerID]],'Customers'!A:A,'Customers'!F:F)</f>
        <v>R02</v>
      </c>
      <c r="H128" t="str">
        <f>TEXT(Orders[[#This Row],[OrderDate]],"mmm")</f>
        <v>Apr</v>
      </c>
      <c r="I128" s="2">
        <f>YEAR(Orders[[#This Row],[OrderDate]])</f>
        <v>2025</v>
      </c>
      <c r="J128" s="4">
        <f ca="1">Orders[[#This Row],[Quantity]]*Orders[[#This Row],[UnitPrice]]</f>
        <v>399.92</v>
      </c>
      <c r="K128" s="4" t="str">
        <f ca="1">_xlfn.XLOOKUP(Orders[[#This Row],[CustomerID]],'Customers'!A:A,'Customers'!B:B)</f>
        <v>Ruby Scott</v>
      </c>
      <c r="L128" s="4" t="str">
        <f ca="1">_xlfn.XLOOKUP(Orders[[#This Row],[ProductID]],Products!A:A,Products!B:B)</f>
        <v>Desk Lamp</v>
      </c>
      <c r="M128" s="4" t="str">
        <f ca="1">_xlfn.XLOOKUP(Orders[[#This Row],[ProductID]],Products!A:A,Products!C:C)</f>
        <v>Furniture</v>
      </c>
      <c r="N128" s="4" t="str">
        <f ca="1">_xlfn.XLOOKUP(Orders[[#This Row],[RegionID]],'Regions'!A:A,'Regions'!B:B)</f>
        <v>North West</v>
      </c>
    </row>
    <row r="129" spans="1:14" x14ac:dyDescent="0.25">
      <c r="A129" s="3">
        <v>1128</v>
      </c>
      <c r="B129" s="1">
        <v>45764</v>
      </c>
      <c r="C129" t="str">
        <f t="shared" ca="1" si="0"/>
        <v>C012</v>
      </c>
      <c r="D129" t="str">
        <f t="shared" ca="1" si="1"/>
        <v>P012</v>
      </c>
      <c r="E129" s="3">
        <f t="shared" ca="1" si="2"/>
        <v>3</v>
      </c>
      <c r="F129" s="4">
        <f ca="1">_xlfn.XLOOKUP(Orders[[#This Row],[ProductID]],Products!A:A,Products!D:D)</f>
        <v>299.99</v>
      </c>
      <c r="G129" t="str">
        <f ca="1">_xlfn.XLOOKUP(Orders[[#This Row],[CustomerID]],'Customers'!A:A,'Customers'!F:F)</f>
        <v>R03</v>
      </c>
      <c r="H129" t="str">
        <f>TEXT(Orders[[#This Row],[OrderDate]],"mmm")</f>
        <v>Apr</v>
      </c>
      <c r="I129" s="2">
        <f>YEAR(Orders[[#This Row],[OrderDate]])</f>
        <v>2025</v>
      </c>
      <c r="J129" s="4">
        <f ca="1">Orders[[#This Row],[Quantity]]*Orders[[#This Row],[UnitPrice]]</f>
        <v>899.97</v>
      </c>
      <c r="K129" s="4" t="str">
        <f ca="1">_xlfn.XLOOKUP(Orders[[#This Row],[CustomerID]],'Customers'!A:A,'Customers'!B:B)</f>
        <v>Mia Harris</v>
      </c>
      <c r="L129" s="4" t="str">
        <f ca="1">_xlfn.XLOOKUP(Orders[[#This Row],[ProductID]],Products!A:A,Products!B:B)</f>
        <v>Tablet</v>
      </c>
      <c r="M129" s="4" t="str">
        <f ca="1">_xlfn.XLOOKUP(Orders[[#This Row],[ProductID]],Products!A:A,Products!C:C)</f>
        <v>Electronics</v>
      </c>
      <c r="N129" s="4" t="str">
        <f ca="1">_xlfn.XLOOKUP(Orders[[#This Row],[RegionID]],'Regions'!A:A,'Regions'!B:B)</f>
        <v>Midlands</v>
      </c>
    </row>
    <row r="130" spans="1:14" x14ac:dyDescent="0.25">
      <c r="A130" s="3">
        <v>1129</v>
      </c>
      <c r="B130" s="1">
        <v>45765</v>
      </c>
      <c r="C130" t="str">
        <f t="shared" ca="1" si="0"/>
        <v>C016</v>
      </c>
      <c r="D130" t="str">
        <f t="shared" ca="1" si="1"/>
        <v>P020</v>
      </c>
      <c r="E130" s="3">
        <f t="shared" ca="1" si="2"/>
        <v>1</v>
      </c>
      <c r="F130" s="4">
        <f ca="1">_xlfn.XLOOKUP(Orders[[#This Row],[ProductID]],Products!A:A,Products!D:D)</f>
        <v>14.99</v>
      </c>
      <c r="G130" t="str">
        <f ca="1">_xlfn.XLOOKUP(Orders[[#This Row],[CustomerID]],'Customers'!A:A,'Customers'!F:F)</f>
        <v>R01</v>
      </c>
      <c r="H130" t="str">
        <f>TEXT(Orders[[#This Row],[OrderDate]],"mmm")</f>
        <v>Apr</v>
      </c>
      <c r="I130" s="2">
        <f>YEAR(Orders[[#This Row],[OrderDate]])</f>
        <v>2025</v>
      </c>
      <c r="J130" s="4">
        <f ca="1">Orders[[#This Row],[Quantity]]*Orders[[#This Row],[UnitPrice]]</f>
        <v>14.99</v>
      </c>
      <c r="K130" s="4" t="str">
        <f ca="1">_xlfn.XLOOKUP(Orders[[#This Row],[CustomerID]],'Customers'!A:A,'Customers'!B:B)</f>
        <v>Grace Martinez</v>
      </c>
      <c r="L130" s="4" t="str">
        <f ca="1">_xlfn.XLOOKUP(Orders[[#This Row],[ProductID]],Products!A:A,Products!B:B)</f>
        <v>Extension Cable</v>
      </c>
      <c r="M130" s="4" t="str">
        <f ca="1">_xlfn.XLOOKUP(Orders[[#This Row],[ProductID]],Products!A:A,Products!C:C)</f>
        <v>Electronics</v>
      </c>
      <c r="N130" s="4" t="str">
        <f ca="1">_xlfn.XLOOKUP(Orders[[#This Row],[RegionID]],'Regions'!A:A,'Regions'!B:B)</f>
        <v>London</v>
      </c>
    </row>
    <row r="131" spans="1:14" x14ac:dyDescent="0.25">
      <c r="A131" s="3">
        <v>1130</v>
      </c>
      <c r="B131" s="1">
        <v>45768</v>
      </c>
      <c r="C131" t="str">
        <f t="shared" ca="1" si="0"/>
        <v>C017</v>
      </c>
      <c r="D131" t="str">
        <f t="shared" ca="1" si="1"/>
        <v>P002</v>
      </c>
      <c r="E131" s="3">
        <f t="shared" ca="1" si="2"/>
        <v>6</v>
      </c>
      <c r="F131" s="4">
        <f ca="1">_xlfn.XLOOKUP(Orders[[#This Row],[ProductID]],Products!A:A,Products!D:D)</f>
        <v>15.5</v>
      </c>
      <c r="G131" t="str">
        <f ca="1">_xlfn.XLOOKUP(Orders[[#This Row],[CustomerID]],'Customers'!A:A,'Customers'!F:F)</f>
        <v>R03</v>
      </c>
      <c r="H131" t="str">
        <f>TEXT(Orders[[#This Row],[OrderDate]],"mmm")</f>
        <v>Apr</v>
      </c>
      <c r="I131" s="2">
        <f>YEAR(Orders[[#This Row],[OrderDate]])</f>
        <v>2025</v>
      </c>
      <c r="J131" s="4">
        <f ca="1">Orders[[#This Row],[Quantity]]*Orders[[#This Row],[UnitPrice]]</f>
        <v>93</v>
      </c>
      <c r="K131" s="4" t="str">
        <f ca="1">_xlfn.XLOOKUP(Orders[[#This Row],[CustomerID]],'Customers'!A:A,'Customers'!B:B)</f>
        <v>Leo Robinson</v>
      </c>
      <c r="L131" s="4" t="str">
        <f ca="1">_xlfn.XLOOKUP(Orders[[#This Row],[ProductID]],Products!A:A,Products!B:B)</f>
        <v>Notebook</v>
      </c>
      <c r="M131" s="4" t="str">
        <f ca="1">_xlfn.XLOOKUP(Orders[[#This Row],[ProductID]],Products!A:A,Products!C:C)</f>
        <v>Stationery</v>
      </c>
      <c r="N131" s="4" t="str">
        <f ca="1">_xlfn.XLOOKUP(Orders[[#This Row],[RegionID]],'Regions'!A:A,'Regions'!B:B)</f>
        <v>Midlands</v>
      </c>
    </row>
    <row r="132" spans="1:14" x14ac:dyDescent="0.25">
      <c r="A132" s="3">
        <v>1131</v>
      </c>
      <c r="B132" s="1">
        <v>45769</v>
      </c>
      <c r="C132" t="str">
        <f t="shared" ca="1" si="0"/>
        <v>C028</v>
      </c>
      <c r="D132" t="str">
        <f t="shared" ca="1" si="1"/>
        <v>P001</v>
      </c>
      <c r="E132" s="3">
        <f t="shared" ca="1" si="2"/>
        <v>4</v>
      </c>
      <c r="F132" s="4">
        <f ca="1">_xlfn.XLOOKUP(Orders[[#This Row],[ProductID]],Products!A:A,Products!D:D)</f>
        <v>25.99</v>
      </c>
      <c r="G132" t="str">
        <f ca="1">_xlfn.XLOOKUP(Orders[[#This Row],[CustomerID]],'Customers'!A:A,'Customers'!F:F)</f>
        <v>R02</v>
      </c>
      <c r="H132" t="str">
        <f>TEXT(Orders[[#This Row],[OrderDate]],"mmm")</f>
        <v>Apr</v>
      </c>
      <c r="I132" s="2">
        <f>YEAR(Orders[[#This Row],[OrderDate]])</f>
        <v>2025</v>
      </c>
      <c r="J132" s="4">
        <f ca="1">Orders[[#This Row],[Quantity]]*Orders[[#This Row],[UnitPrice]]</f>
        <v>103.96</v>
      </c>
      <c r="K132" s="4" t="str">
        <f ca="1">_xlfn.XLOOKUP(Orders[[#This Row],[CustomerID]],'Customers'!A:A,'Customers'!B:B)</f>
        <v>Ruby Scott</v>
      </c>
      <c r="L132" s="4" t="str">
        <f ca="1">_xlfn.XLOOKUP(Orders[[#This Row],[ProductID]],Products!A:A,Products!B:B)</f>
        <v>Wireless Mouse</v>
      </c>
      <c r="M132" s="4" t="str">
        <f ca="1">_xlfn.XLOOKUP(Orders[[#This Row],[ProductID]],Products!A:A,Products!C:C)</f>
        <v>Electronics</v>
      </c>
      <c r="N132" s="4" t="str">
        <f ca="1">_xlfn.XLOOKUP(Orders[[#This Row],[RegionID]],'Regions'!A:A,'Regions'!B:B)</f>
        <v>North West</v>
      </c>
    </row>
    <row r="133" spans="1:14" x14ac:dyDescent="0.25">
      <c r="A133" s="3">
        <v>1132</v>
      </c>
      <c r="B133" s="1">
        <v>45770</v>
      </c>
      <c r="C133" t="str">
        <f t="shared" ca="1" si="0"/>
        <v>C014</v>
      </c>
      <c r="D133" t="str">
        <f t="shared" ca="1" si="1"/>
        <v>P001</v>
      </c>
      <c r="E133" s="3">
        <f t="shared" ca="1" si="2"/>
        <v>10</v>
      </c>
      <c r="F133" s="4">
        <f ca="1">_xlfn.XLOOKUP(Orders[[#This Row],[ProductID]],Products!A:A,Products!D:D)</f>
        <v>25.99</v>
      </c>
      <c r="G133" t="str">
        <f ca="1">_xlfn.XLOOKUP(Orders[[#This Row],[CustomerID]],'Customers'!A:A,'Customers'!F:F)</f>
        <v>R02</v>
      </c>
      <c r="H133" t="str">
        <f>TEXT(Orders[[#This Row],[OrderDate]],"mmm")</f>
        <v>Apr</v>
      </c>
      <c r="I133" s="2">
        <f>YEAR(Orders[[#This Row],[OrderDate]])</f>
        <v>2025</v>
      </c>
      <c r="J133" s="4">
        <f ca="1">Orders[[#This Row],[Quantity]]*Orders[[#This Row],[UnitPrice]]</f>
        <v>259.89999999999998</v>
      </c>
      <c r="K133" s="4" t="str">
        <f ca="1">_xlfn.XLOOKUP(Orders[[#This Row],[CustomerID]],'Customers'!A:A,'Customers'!B:B)</f>
        <v>Lily Thompson</v>
      </c>
      <c r="L133" s="4" t="str">
        <f ca="1">_xlfn.XLOOKUP(Orders[[#This Row],[ProductID]],Products!A:A,Products!B:B)</f>
        <v>Wireless Mouse</v>
      </c>
      <c r="M133" s="4" t="str">
        <f ca="1">_xlfn.XLOOKUP(Orders[[#This Row],[ProductID]],Products!A:A,Products!C:C)</f>
        <v>Electronics</v>
      </c>
      <c r="N133" s="4" t="str">
        <f ca="1">_xlfn.XLOOKUP(Orders[[#This Row],[RegionID]],'Regions'!A:A,'Regions'!B:B)</f>
        <v>North West</v>
      </c>
    </row>
    <row r="134" spans="1:14" x14ac:dyDescent="0.25">
      <c r="A134" s="3">
        <v>1133</v>
      </c>
      <c r="B134" s="1">
        <v>45771</v>
      </c>
      <c r="C134" t="str">
        <f t="shared" ca="1" si="0"/>
        <v>C013</v>
      </c>
      <c r="D134" t="str">
        <f t="shared" ca="1" si="1"/>
        <v>P001</v>
      </c>
      <c r="E134" s="3">
        <f t="shared" ca="1" si="2"/>
        <v>6</v>
      </c>
      <c r="F134" s="4">
        <f ca="1">_xlfn.XLOOKUP(Orders[[#This Row],[ProductID]],Products!A:A,Products!D:D)</f>
        <v>25.99</v>
      </c>
      <c r="G134" t="str">
        <f ca="1">_xlfn.XLOOKUP(Orders[[#This Row],[CustomerID]],'Customers'!A:A,'Customers'!F:F)</f>
        <v>R02</v>
      </c>
      <c r="H134" t="str">
        <f>TEXT(Orders[[#This Row],[OrderDate]],"mmm")</f>
        <v>Apr</v>
      </c>
      <c r="I134" s="2">
        <f>YEAR(Orders[[#This Row],[OrderDate]])</f>
        <v>2025</v>
      </c>
      <c r="J134" s="4">
        <f ca="1">Orders[[#This Row],[Quantity]]*Orders[[#This Row],[UnitPrice]]</f>
        <v>155.94</v>
      </c>
      <c r="K134" s="4" t="str">
        <f ca="1">_xlfn.XLOOKUP(Orders[[#This Row],[CustomerID]],'Customers'!A:A,'Customers'!B:B)</f>
        <v>Noah Martin</v>
      </c>
      <c r="L134" s="4" t="str">
        <f ca="1">_xlfn.XLOOKUP(Orders[[#This Row],[ProductID]],Products!A:A,Products!B:B)</f>
        <v>Wireless Mouse</v>
      </c>
      <c r="M134" s="4" t="str">
        <f ca="1">_xlfn.XLOOKUP(Orders[[#This Row],[ProductID]],Products!A:A,Products!C:C)</f>
        <v>Electronics</v>
      </c>
      <c r="N134" s="4" t="str">
        <f ca="1">_xlfn.XLOOKUP(Orders[[#This Row],[RegionID]],'Regions'!A:A,'Regions'!B:B)</f>
        <v>North West</v>
      </c>
    </row>
    <row r="135" spans="1:14" x14ac:dyDescent="0.25">
      <c r="A135" s="3">
        <v>1134</v>
      </c>
      <c r="B135" s="1">
        <v>45772</v>
      </c>
      <c r="C135" t="str">
        <f t="shared" ca="1" si="0"/>
        <v>C015</v>
      </c>
      <c r="D135" t="str">
        <f t="shared" ca="1" si="1"/>
        <v>P018</v>
      </c>
      <c r="E135" s="3">
        <f t="shared" ca="1" si="2"/>
        <v>10</v>
      </c>
      <c r="F135" s="4">
        <f ca="1">_xlfn.XLOOKUP(Orders[[#This Row],[ProductID]],Products!A:A,Products!D:D)</f>
        <v>29.99</v>
      </c>
      <c r="G135" t="str">
        <f ca="1">_xlfn.XLOOKUP(Orders[[#This Row],[CustomerID]],'Customers'!A:A,'Customers'!F:F)</f>
        <v>R01</v>
      </c>
      <c r="H135" t="str">
        <f>TEXT(Orders[[#This Row],[OrderDate]],"mmm")</f>
        <v>Apr</v>
      </c>
      <c r="I135" s="2">
        <f>YEAR(Orders[[#This Row],[OrderDate]])</f>
        <v>2025</v>
      </c>
      <c r="J135" s="4">
        <f ca="1">Orders[[#This Row],[Quantity]]*Orders[[#This Row],[UnitPrice]]</f>
        <v>299.89999999999998</v>
      </c>
      <c r="K135" s="4" t="str">
        <f ca="1">_xlfn.XLOOKUP(Orders[[#This Row],[CustomerID]],'Customers'!A:A,'Customers'!B:B)</f>
        <v>Oscar Garcia</v>
      </c>
      <c r="L135" s="4" t="str">
        <f ca="1">_xlfn.XLOOKUP(Orders[[#This Row],[ProductID]],Products!A:A,Products!B:B)</f>
        <v>Laptop Stand</v>
      </c>
      <c r="M135" s="4" t="str">
        <f ca="1">_xlfn.XLOOKUP(Orders[[#This Row],[ProductID]],Products!A:A,Products!C:C)</f>
        <v>Accessories</v>
      </c>
      <c r="N135" s="4" t="str">
        <f ca="1">_xlfn.XLOOKUP(Orders[[#This Row],[RegionID]],'Regions'!A:A,'Regions'!B:B)</f>
        <v>London</v>
      </c>
    </row>
    <row r="136" spans="1:14" x14ac:dyDescent="0.25">
      <c r="A136" s="3">
        <v>1135</v>
      </c>
      <c r="B136" s="1">
        <v>45775</v>
      </c>
      <c r="C136" t="str">
        <f t="shared" ca="1" si="0"/>
        <v>C008</v>
      </c>
      <c r="D136" t="str">
        <f t="shared" ca="1" si="1"/>
        <v>P018</v>
      </c>
      <c r="E136" s="3">
        <f t="shared" ca="1" si="2"/>
        <v>2</v>
      </c>
      <c r="F136" s="4">
        <f ca="1">_xlfn.XLOOKUP(Orders[[#This Row],[ProductID]],Products!A:A,Products!D:D)</f>
        <v>29.99</v>
      </c>
      <c r="G136" t="str">
        <f ca="1">_xlfn.XLOOKUP(Orders[[#This Row],[CustomerID]],'Customers'!A:A,'Customers'!F:F)</f>
        <v>R01</v>
      </c>
      <c r="H136" t="str">
        <f>TEXT(Orders[[#This Row],[OrderDate]],"mmm")</f>
        <v>Apr</v>
      </c>
      <c r="I136" s="2">
        <f>YEAR(Orders[[#This Row],[OrderDate]])</f>
        <v>2025</v>
      </c>
      <c r="J136" s="4">
        <f ca="1">Orders[[#This Row],[Quantity]]*Orders[[#This Row],[UnitPrice]]</f>
        <v>59.98</v>
      </c>
      <c r="K136" s="4" t="str">
        <f ca="1">_xlfn.XLOOKUP(Orders[[#This Row],[CustomerID]],'Customers'!A:A,'Customers'!B:B)</f>
        <v>Isla Wilson</v>
      </c>
      <c r="L136" s="4" t="str">
        <f ca="1">_xlfn.XLOOKUP(Orders[[#This Row],[ProductID]],Products!A:A,Products!B:B)</f>
        <v>Laptop Stand</v>
      </c>
      <c r="M136" s="4" t="str">
        <f ca="1">_xlfn.XLOOKUP(Orders[[#This Row],[ProductID]],Products!A:A,Products!C:C)</f>
        <v>Accessories</v>
      </c>
      <c r="N136" s="4" t="str">
        <f ca="1">_xlfn.XLOOKUP(Orders[[#This Row],[RegionID]],'Regions'!A:A,'Regions'!B:B)</f>
        <v>London</v>
      </c>
    </row>
    <row r="137" spans="1:14" x14ac:dyDescent="0.25">
      <c r="A137" s="3">
        <v>1136</v>
      </c>
      <c r="B137" s="1">
        <v>45776</v>
      </c>
      <c r="C137" t="str">
        <f t="shared" ca="1" si="0"/>
        <v>C002</v>
      </c>
      <c r="D137" t="str">
        <f t="shared" ca="1" si="1"/>
        <v>P004</v>
      </c>
      <c r="E137" s="3">
        <f t="shared" ca="1" si="2"/>
        <v>1</v>
      </c>
      <c r="F137" s="4">
        <f ca="1">_xlfn.XLOOKUP(Orders[[#This Row],[ProductID]],Products!A:A,Products!D:D)</f>
        <v>89.99</v>
      </c>
      <c r="G137" t="str">
        <f ca="1">_xlfn.XLOOKUP(Orders[[#This Row],[CustomerID]],'Customers'!A:A,'Customers'!F:F)</f>
        <v>R02</v>
      </c>
      <c r="H137" t="str">
        <f>TEXT(Orders[[#This Row],[OrderDate]],"mmm")</f>
        <v>Apr</v>
      </c>
      <c r="I137" s="2">
        <f>YEAR(Orders[[#This Row],[OrderDate]])</f>
        <v>2025</v>
      </c>
      <c r="J137" s="4">
        <f ca="1">Orders[[#This Row],[Quantity]]*Orders[[#This Row],[UnitPrice]]</f>
        <v>89.99</v>
      </c>
      <c r="K137" s="4" t="str">
        <f ca="1">_xlfn.XLOOKUP(Orders[[#This Row],[CustomerID]],'Customers'!A:A,'Customers'!B:B)</f>
        <v>Emily Johnson</v>
      </c>
      <c r="L137" s="4" t="str">
        <f ca="1">_xlfn.XLOOKUP(Orders[[#This Row],[ProductID]],Products!A:A,Products!B:B)</f>
        <v>Office Chair</v>
      </c>
      <c r="M137" s="4" t="str">
        <f ca="1">_xlfn.XLOOKUP(Orders[[#This Row],[ProductID]],Products!A:A,Products!C:C)</f>
        <v>Furniture</v>
      </c>
      <c r="N137" s="4" t="str">
        <f ca="1">_xlfn.XLOOKUP(Orders[[#This Row],[RegionID]],'Regions'!A:A,'Regions'!B:B)</f>
        <v>North West</v>
      </c>
    </row>
    <row r="138" spans="1:14" x14ac:dyDescent="0.25">
      <c r="A138" s="3">
        <v>1137</v>
      </c>
      <c r="B138" s="1">
        <v>45777</v>
      </c>
      <c r="C138" t="str">
        <f t="shared" ca="1" si="0"/>
        <v>C009</v>
      </c>
      <c r="D138" t="str">
        <f t="shared" ca="1" si="1"/>
        <v>P014</v>
      </c>
      <c r="E138" s="3">
        <f t="shared" ca="1" si="2"/>
        <v>2</v>
      </c>
      <c r="F138" s="4">
        <f ca="1">_xlfn.XLOOKUP(Orders[[#This Row],[ProductID]],Products!A:A,Products!D:D)</f>
        <v>19.989999999999998</v>
      </c>
      <c r="G138" t="str">
        <f ca="1">_xlfn.XLOOKUP(Orders[[#This Row],[CustomerID]],'Customers'!A:A,'Customers'!F:F)</f>
        <v>R04</v>
      </c>
      <c r="H138" t="str">
        <f>TEXT(Orders[[#This Row],[OrderDate]],"mmm")</f>
        <v>Apr</v>
      </c>
      <c r="I138" s="2">
        <f>YEAR(Orders[[#This Row],[OrderDate]])</f>
        <v>2025</v>
      </c>
      <c r="J138" s="4">
        <f ca="1">Orders[[#This Row],[Quantity]]*Orders[[#This Row],[UnitPrice]]</f>
        <v>39.979999999999997</v>
      </c>
      <c r="K138" s="4" t="str">
        <f ca="1">_xlfn.XLOOKUP(Orders[[#This Row],[CustomerID]],'Customers'!A:A,'Customers'!B:B)</f>
        <v>Charlie Evans</v>
      </c>
      <c r="L138" s="4" t="str">
        <f ca="1">_xlfn.XLOOKUP(Orders[[#This Row],[ProductID]],Products!A:A,Products!B:B)</f>
        <v>Desk Organizer</v>
      </c>
      <c r="M138" s="4" t="str">
        <f ca="1">_xlfn.XLOOKUP(Orders[[#This Row],[ProductID]],Products!A:A,Products!C:C)</f>
        <v>Office Supplies</v>
      </c>
      <c r="N138" s="4" t="str">
        <f ca="1">_xlfn.XLOOKUP(Orders[[#This Row],[RegionID]],'Regions'!A:A,'Regions'!B:B)</f>
        <v>Yorkshire</v>
      </c>
    </row>
    <row r="139" spans="1:14" x14ac:dyDescent="0.25">
      <c r="A139" s="3">
        <v>1138</v>
      </c>
      <c r="B139" s="1">
        <v>45778</v>
      </c>
      <c r="C139" t="str">
        <f t="shared" ca="1" si="0"/>
        <v>C021</v>
      </c>
      <c r="D139" t="str">
        <f t="shared" ca="1" si="1"/>
        <v>P020</v>
      </c>
      <c r="E139" s="3">
        <f t="shared" ca="1" si="2"/>
        <v>8</v>
      </c>
      <c r="F139" s="4">
        <f ca="1">_xlfn.XLOOKUP(Orders[[#This Row],[ProductID]],Products!A:A,Products!D:D)</f>
        <v>14.99</v>
      </c>
      <c r="G139" t="str">
        <f ca="1">_xlfn.XLOOKUP(Orders[[#This Row],[CustomerID]],'Customers'!A:A,'Customers'!F:F)</f>
        <v>R04</v>
      </c>
      <c r="H139" t="str">
        <f>TEXT(Orders[[#This Row],[OrderDate]],"mmm")</f>
        <v>May</v>
      </c>
      <c r="I139" s="2">
        <f>YEAR(Orders[[#This Row],[OrderDate]])</f>
        <v>2025</v>
      </c>
      <c r="J139" s="4">
        <f ca="1">Orders[[#This Row],[Quantity]]*Orders[[#This Row],[UnitPrice]]</f>
        <v>119.92</v>
      </c>
      <c r="K139" s="4" t="str">
        <f ca="1">_xlfn.XLOOKUP(Orders[[#This Row],[CustomerID]],'Customers'!A:A,'Customers'!B:B)</f>
        <v>Alfie Lee</v>
      </c>
      <c r="L139" s="4" t="str">
        <f ca="1">_xlfn.XLOOKUP(Orders[[#This Row],[ProductID]],Products!A:A,Products!B:B)</f>
        <v>Extension Cable</v>
      </c>
      <c r="M139" s="4" t="str">
        <f ca="1">_xlfn.XLOOKUP(Orders[[#This Row],[ProductID]],Products!A:A,Products!C:C)</f>
        <v>Electronics</v>
      </c>
      <c r="N139" s="4" t="str">
        <f ca="1">_xlfn.XLOOKUP(Orders[[#This Row],[RegionID]],'Regions'!A:A,'Regions'!B:B)</f>
        <v>Yorkshire</v>
      </c>
    </row>
    <row r="140" spans="1:14" x14ac:dyDescent="0.25">
      <c r="A140" s="3">
        <v>1139</v>
      </c>
      <c r="B140" s="1">
        <v>45779</v>
      </c>
      <c r="C140" t="str">
        <f t="shared" ca="1" si="0"/>
        <v>C009</v>
      </c>
      <c r="D140" t="str">
        <f t="shared" ca="1" si="1"/>
        <v>P016</v>
      </c>
      <c r="E140" s="3">
        <f t="shared" ca="1" si="2"/>
        <v>8</v>
      </c>
      <c r="F140" s="4">
        <f ca="1">_xlfn.XLOOKUP(Orders[[#This Row],[ProductID]],Products!A:A,Products!D:D)</f>
        <v>399.99</v>
      </c>
      <c r="G140" t="str">
        <f ca="1">_xlfn.XLOOKUP(Orders[[#This Row],[CustomerID]],'Customers'!A:A,'Customers'!F:F)</f>
        <v>R04</v>
      </c>
      <c r="H140" t="str">
        <f>TEXT(Orders[[#This Row],[OrderDate]],"mmm")</f>
        <v>May</v>
      </c>
      <c r="I140" s="2">
        <f>YEAR(Orders[[#This Row],[OrderDate]])</f>
        <v>2025</v>
      </c>
      <c r="J140" s="4">
        <f ca="1">Orders[[#This Row],[Quantity]]*Orders[[#This Row],[UnitPrice]]</f>
        <v>3199.92</v>
      </c>
      <c r="K140" s="4" t="str">
        <f ca="1">_xlfn.XLOOKUP(Orders[[#This Row],[CustomerID]],'Customers'!A:A,'Customers'!B:B)</f>
        <v>Charlie Evans</v>
      </c>
      <c r="L140" s="4" t="str">
        <f ca="1">_xlfn.XLOOKUP(Orders[[#This Row],[ProductID]],Products!A:A,Products!B:B)</f>
        <v>Standing Desk</v>
      </c>
      <c r="M140" s="4" t="str">
        <f ca="1">_xlfn.XLOOKUP(Orders[[#This Row],[ProductID]],Products!A:A,Products!C:C)</f>
        <v>Furniture</v>
      </c>
      <c r="N140" s="4" t="str">
        <f ca="1">_xlfn.XLOOKUP(Orders[[#This Row],[RegionID]],'Regions'!A:A,'Regions'!B:B)</f>
        <v>Yorkshire</v>
      </c>
    </row>
    <row r="141" spans="1:14" x14ac:dyDescent="0.25">
      <c r="A141" s="3">
        <v>1140</v>
      </c>
      <c r="B141" s="1">
        <v>45782</v>
      </c>
      <c r="C141" t="str">
        <f t="shared" ca="1" si="0"/>
        <v>C022</v>
      </c>
      <c r="D141" t="str">
        <f t="shared" ca="1" si="1"/>
        <v>P019</v>
      </c>
      <c r="E141" s="3">
        <f t="shared" ca="1" si="2"/>
        <v>8</v>
      </c>
      <c r="F141" s="4">
        <f ca="1">_xlfn.XLOOKUP(Orders[[#This Row],[ProductID]],Products!A:A,Products!D:D)</f>
        <v>59.99</v>
      </c>
      <c r="G141" t="str">
        <f ca="1">_xlfn.XLOOKUP(Orders[[#This Row],[CustomerID]],'Customers'!A:A,'Customers'!F:F)</f>
        <v>R03</v>
      </c>
      <c r="H141" t="str">
        <f>TEXT(Orders[[#This Row],[OrderDate]],"mmm")</f>
        <v>May</v>
      </c>
      <c r="I141" s="2">
        <f>YEAR(Orders[[#This Row],[OrderDate]])</f>
        <v>2025</v>
      </c>
      <c r="J141" s="4">
        <f ca="1">Orders[[#This Row],[Quantity]]*Orders[[#This Row],[UnitPrice]]</f>
        <v>479.92</v>
      </c>
      <c r="K141" s="4" t="str">
        <f ca="1">_xlfn.XLOOKUP(Orders[[#This Row],[CustomerID]],'Customers'!A:A,'Customers'!B:B)</f>
        <v>Evie Walker</v>
      </c>
      <c r="L141" s="4" t="str">
        <f ca="1">_xlfn.XLOOKUP(Orders[[#This Row],[ProductID]],Products!A:A,Products!B:B)</f>
        <v>Webcam</v>
      </c>
      <c r="M141" s="4" t="str">
        <f ca="1">_xlfn.XLOOKUP(Orders[[#This Row],[ProductID]],Products!A:A,Products!C:C)</f>
        <v>Electronics</v>
      </c>
      <c r="N141" s="4" t="str">
        <f ca="1">_xlfn.XLOOKUP(Orders[[#This Row],[RegionID]],'Regions'!A:A,'Regions'!B:B)</f>
        <v>Midlands</v>
      </c>
    </row>
    <row r="142" spans="1:14" x14ac:dyDescent="0.25">
      <c r="A142" s="3">
        <v>1141</v>
      </c>
      <c r="B142" s="1">
        <v>45783</v>
      </c>
      <c r="C142" t="str">
        <f t="shared" ca="1" si="0"/>
        <v>C002</v>
      </c>
      <c r="D142" t="str">
        <f t="shared" ca="1" si="1"/>
        <v>P002</v>
      </c>
      <c r="E142" s="3">
        <f t="shared" ca="1" si="2"/>
        <v>5</v>
      </c>
      <c r="F142" s="4">
        <f ca="1">_xlfn.XLOOKUP(Orders[[#This Row],[ProductID]],Products!A:A,Products!D:D)</f>
        <v>15.5</v>
      </c>
      <c r="G142" t="str">
        <f ca="1">_xlfn.XLOOKUP(Orders[[#This Row],[CustomerID]],'Customers'!A:A,'Customers'!F:F)</f>
        <v>R02</v>
      </c>
      <c r="H142" t="str">
        <f>TEXT(Orders[[#This Row],[OrderDate]],"mmm")</f>
        <v>May</v>
      </c>
      <c r="I142" s="2">
        <f>YEAR(Orders[[#This Row],[OrderDate]])</f>
        <v>2025</v>
      </c>
      <c r="J142" s="4">
        <f ca="1">Orders[[#This Row],[Quantity]]*Orders[[#This Row],[UnitPrice]]</f>
        <v>77.5</v>
      </c>
      <c r="K142" s="4" t="str">
        <f ca="1">_xlfn.XLOOKUP(Orders[[#This Row],[CustomerID]],'Customers'!A:A,'Customers'!B:B)</f>
        <v>Emily Johnson</v>
      </c>
      <c r="L142" s="4" t="str">
        <f ca="1">_xlfn.XLOOKUP(Orders[[#This Row],[ProductID]],Products!A:A,Products!B:B)</f>
        <v>Notebook</v>
      </c>
      <c r="M142" s="4" t="str">
        <f ca="1">_xlfn.XLOOKUP(Orders[[#This Row],[ProductID]],Products!A:A,Products!C:C)</f>
        <v>Stationery</v>
      </c>
      <c r="N142" s="4" t="str">
        <f ca="1">_xlfn.XLOOKUP(Orders[[#This Row],[RegionID]],'Regions'!A:A,'Regions'!B:B)</f>
        <v>North West</v>
      </c>
    </row>
    <row r="143" spans="1:14" x14ac:dyDescent="0.25">
      <c r="A143" s="3">
        <v>1142</v>
      </c>
      <c r="B143" s="1">
        <v>45784</v>
      </c>
      <c r="C143" t="str">
        <f t="shared" ca="1" si="0"/>
        <v>C010</v>
      </c>
      <c r="D143" t="str">
        <f t="shared" ca="1" si="1"/>
        <v>P008</v>
      </c>
      <c r="E143" s="3">
        <f t="shared" ca="1" si="2"/>
        <v>4</v>
      </c>
      <c r="F143" s="4">
        <f ca="1">_xlfn.XLOOKUP(Orders[[#This Row],[ProductID]],Products!A:A,Products!D:D)</f>
        <v>149.99</v>
      </c>
      <c r="G143" t="str">
        <f ca="1">_xlfn.XLOOKUP(Orders[[#This Row],[CustomerID]],'Customers'!A:A,'Customers'!F:F)</f>
        <v>R03</v>
      </c>
      <c r="H143" t="str">
        <f>TEXT(Orders[[#This Row],[OrderDate]],"mmm")</f>
        <v>May</v>
      </c>
      <c r="I143" s="2">
        <f>YEAR(Orders[[#This Row],[OrderDate]])</f>
        <v>2025</v>
      </c>
      <c r="J143" s="4">
        <f ca="1">Orders[[#This Row],[Quantity]]*Orders[[#This Row],[UnitPrice]]</f>
        <v>599.96</v>
      </c>
      <c r="K143" s="4" t="str">
        <f ca="1">_xlfn.XLOOKUP(Orders[[#This Row],[CustomerID]],'Customers'!A:A,'Customers'!B:B)</f>
        <v>Ava Thomas</v>
      </c>
      <c r="L143" s="4" t="str">
        <f ca="1">_xlfn.XLOOKUP(Orders[[#This Row],[ProductID]],Products!A:A,Products!B:B)</f>
        <v>Monitor 24 inch</v>
      </c>
      <c r="M143" s="4" t="str">
        <f ca="1">_xlfn.XLOOKUP(Orders[[#This Row],[ProductID]],Products!A:A,Products!C:C)</f>
        <v>Electronics</v>
      </c>
      <c r="N143" s="4" t="str">
        <f ca="1">_xlfn.XLOOKUP(Orders[[#This Row],[RegionID]],'Regions'!A:A,'Regions'!B:B)</f>
        <v>Midlands</v>
      </c>
    </row>
    <row r="144" spans="1:14" x14ac:dyDescent="0.25">
      <c r="A144" s="3">
        <v>1143</v>
      </c>
      <c r="B144" s="1">
        <v>45785</v>
      </c>
      <c r="C144" t="str">
        <f t="shared" ca="1" si="0"/>
        <v>C020</v>
      </c>
      <c r="D144" t="str">
        <f t="shared" ca="1" si="1"/>
        <v>P015</v>
      </c>
      <c r="E144" s="3">
        <f t="shared" ca="1" si="2"/>
        <v>10</v>
      </c>
      <c r="F144" s="4">
        <f ca="1">_xlfn.XLOOKUP(Orders[[#This Row],[ProductID]],Products!A:A,Products!D:D)</f>
        <v>79.989999999999995</v>
      </c>
      <c r="G144" t="str">
        <f ca="1">_xlfn.XLOOKUP(Orders[[#This Row],[CustomerID]],'Customers'!A:A,'Customers'!F:F)</f>
        <v>R04</v>
      </c>
      <c r="H144" t="str">
        <f>TEXT(Orders[[#This Row],[OrderDate]],"mmm")</f>
        <v>May</v>
      </c>
      <c r="I144" s="2">
        <f>YEAR(Orders[[#This Row],[OrderDate]])</f>
        <v>2025</v>
      </c>
      <c r="J144" s="4">
        <f ca="1">Orders[[#This Row],[Quantity]]*Orders[[#This Row],[UnitPrice]]</f>
        <v>799.9</v>
      </c>
      <c r="K144" s="4" t="str">
        <f ca="1">_xlfn.XLOOKUP(Orders[[#This Row],[CustomerID]],'Customers'!A:A,'Customers'!B:B)</f>
        <v>Ella Lewis</v>
      </c>
      <c r="L144" s="4" t="str">
        <f ca="1">_xlfn.XLOOKUP(Orders[[#This Row],[ProductID]],Products!A:A,Products!B:B)</f>
        <v>Headphones</v>
      </c>
      <c r="M144" s="4" t="str">
        <f ca="1">_xlfn.XLOOKUP(Orders[[#This Row],[ProductID]],Products!A:A,Products!C:C)</f>
        <v>Electronics</v>
      </c>
      <c r="N144" s="4" t="str">
        <f ca="1">_xlfn.XLOOKUP(Orders[[#This Row],[RegionID]],'Regions'!A:A,'Regions'!B:B)</f>
        <v>Yorkshire</v>
      </c>
    </row>
    <row r="145" spans="1:14" x14ac:dyDescent="0.25">
      <c r="A145" s="3">
        <v>1144</v>
      </c>
      <c r="B145" s="1">
        <v>45786</v>
      </c>
      <c r="C145" t="str">
        <f t="shared" ref="C145:C208" ca="1" si="3">"C"&amp;TEXT(RANDBETWEEN(1,30),"000")</f>
        <v>C018</v>
      </c>
      <c r="D145" t="str">
        <f t="shared" ref="D145:D208" ca="1" si="4">"P"&amp;TEXT(RANDBETWEEN(1,20),"000")</f>
        <v>P010</v>
      </c>
      <c r="E145" s="3">
        <f t="shared" ref="E145:E208" ca="1" si="5">RANDBETWEEN(1,10)</f>
        <v>1</v>
      </c>
      <c r="F145" s="4">
        <f ca="1">_xlfn.XLOOKUP(Orders[[#This Row],[ProductID]],Products!A:A,Products!D:D)</f>
        <v>39.99</v>
      </c>
      <c r="G145" t="str">
        <f ca="1">_xlfn.XLOOKUP(Orders[[#This Row],[CustomerID]],'Customers'!A:A,'Customers'!F:F)</f>
        <v>R02</v>
      </c>
      <c r="H145" t="str">
        <f>TEXT(Orders[[#This Row],[OrderDate]],"mmm")</f>
        <v>May</v>
      </c>
      <c r="I145" s="2">
        <f>YEAR(Orders[[#This Row],[OrderDate]])</f>
        <v>2025</v>
      </c>
      <c r="J145" s="4">
        <f ca="1">Orders[[#This Row],[Quantity]]*Orders[[#This Row],[UnitPrice]]</f>
        <v>39.99</v>
      </c>
      <c r="K145" s="4" t="str">
        <f ca="1">_xlfn.XLOOKUP(Orders[[#This Row],[CustomerID]],'Customers'!A:A,'Customers'!B:B)</f>
        <v>Chloe Clark</v>
      </c>
      <c r="L145" s="4" t="str">
        <f ca="1">_xlfn.XLOOKUP(Orders[[#This Row],[ProductID]],Products!A:A,Products!B:B)</f>
        <v>Backpack</v>
      </c>
      <c r="M145" s="4" t="str">
        <f ca="1">_xlfn.XLOOKUP(Orders[[#This Row],[ProductID]],Products!A:A,Products!C:C)</f>
        <v>Accessories</v>
      </c>
      <c r="N145" s="4" t="str">
        <f ca="1">_xlfn.XLOOKUP(Orders[[#This Row],[RegionID]],'Regions'!A:A,'Regions'!B:B)</f>
        <v>North West</v>
      </c>
    </row>
    <row r="146" spans="1:14" x14ac:dyDescent="0.25">
      <c r="A146" s="3">
        <v>1145</v>
      </c>
      <c r="B146" s="1">
        <v>45789</v>
      </c>
      <c r="C146" t="str">
        <f t="shared" ca="1" si="3"/>
        <v>C022</v>
      </c>
      <c r="D146" t="str">
        <f t="shared" ca="1" si="4"/>
        <v>P019</v>
      </c>
      <c r="E146" s="3">
        <f t="shared" ca="1" si="5"/>
        <v>6</v>
      </c>
      <c r="F146" s="4">
        <f ca="1">_xlfn.XLOOKUP(Orders[[#This Row],[ProductID]],Products!A:A,Products!D:D)</f>
        <v>59.99</v>
      </c>
      <c r="G146" t="str">
        <f ca="1">_xlfn.XLOOKUP(Orders[[#This Row],[CustomerID]],'Customers'!A:A,'Customers'!F:F)</f>
        <v>R03</v>
      </c>
      <c r="H146" t="str">
        <f>TEXT(Orders[[#This Row],[OrderDate]],"mmm")</f>
        <v>May</v>
      </c>
      <c r="I146" s="2">
        <f>YEAR(Orders[[#This Row],[OrderDate]])</f>
        <v>2025</v>
      </c>
      <c r="J146" s="4">
        <f ca="1">Orders[[#This Row],[Quantity]]*Orders[[#This Row],[UnitPrice]]</f>
        <v>359.94</v>
      </c>
      <c r="K146" s="4" t="str">
        <f ca="1">_xlfn.XLOOKUP(Orders[[#This Row],[CustomerID]],'Customers'!A:A,'Customers'!B:B)</f>
        <v>Evie Walker</v>
      </c>
      <c r="L146" s="4" t="str">
        <f ca="1">_xlfn.XLOOKUP(Orders[[#This Row],[ProductID]],Products!A:A,Products!B:B)</f>
        <v>Webcam</v>
      </c>
      <c r="M146" s="4" t="str">
        <f ca="1">_xlfn.XLOOKUP(Orders[[#This Row],[ProductID]],Products!A:A,Products!C:C)</f>
        <v>Electronics</v>
      </c>
      <c r="N146" s="4" t="str">
        <f ca="1">_xlfn.XLOOKUP(Orders[[#This Row],[RegionID]],'Regions'!A:A,'Regions'!B:B)</f>
        <v>Midlands</v>
      </c>
    </row>
    <row r="147" spans="1:14" x14ac:dyDescent="0.25">
      <c r="A147" s="3">
        <v>1146</v>
      </c>
      <c r="B147" s="1">
        <v>45790</v>
      </c>
      <c r="C147" t="str">
        <f t="shared" ca="1" si="3"/>
        <v>C011</v>
      </c>
      <c r="D147" t="str">
        <f t="shared" ca="1" si="4"/>
        <v>P010</v>
      </c>
      <c r="E147" s="3">
        <f t="shared" ca="1" si="5"/>
        <v>5</v>
      </c>
      <c r="F147" s="4">
        <f ca="1">_xlfn.XLOOKUP(Orders[[#This Row],[ProductID]],Products!A:A,Products!D:D)</f>
        <v>39.99</v>
      </c>
      <c r="G147" t="str">
        <f ca="1">_xlfn.XLOOKUP(Orders[[#This Row],[CustomerID]],'Customers'!A:A,'Customers'!F:F)</f>
        <v>R03</v>
      </c>
      <c r="H147" t="str">
        <f>TEXT(Orders[[#This Row],[OrderDate]],"mmm")</f>
        <v>May</v>
      </c>
      <c r="I147" s="2">
        <f>YEAR(Orders[[#This Row],[OrderDate]])</f>
        <v>2025</v>
      </c>
      <c r="J147" s="4">
        <f ca="1">Orders[[#This Row],[Quantity]]*Orders[[#This Row],[UnitPrice]]</f>
        <v>199.95000000000002</v>
      </c>
      <c r="K147" s="4" t="str">
        <f ca="1">_xlfn.XLOOKUP(Orders[[#This Row],[CustomerID]],'Customers'!A:A,'Customers'!B:B)</f>
        <v>George White</v>
      </c>
      <c r="L147" s="4" t="str">
        <f ca="1">_xlfn.XLOOKUP(Orders[[#This Row],[ProductID]],Products!A:A,Products!B:B)</f>
        <v>Backpack</v>
      </c>
      <c r="M147" s="4" t="str">
        <f ca="1">_xlfn.XLOOKUP(Orders[[#This Row],[ProductID]],Products!A:A,Products!C:C)</f>
        <v>Accessories</v>
      </c>
      <c r="N147" s="4" t="str">
        <f ca="1">_xlfn.XLOOKUP(Orders[[#This Row],[RegionID]],'Regions'!A:A,'Regions'!B:B)</f>
        <v>Midlands</v>
      </c>
    </row>
    <row r="148" spans="1:14" x14ac:dyDescent="0.25">
      <c r="A148" s="3">
        <v>1147</v>
      </c>
      <c r="B148" s="1">
        <v>45791</v>
      </c>
      <c r="C148" t="str">
        <f t="shared" ca="1" si="3"/>
        <v>C018</v>
      </c>
      <c r="D148" t="str">
        <f t="shared" ca="1" si="4"/>
        <v>P008</v>
      </c>
      <c r="E148" s="3">
        <f t="shared" ca="1" si="5"/>
        <v>5</v>
      </c>
      <c r="F148" s="4">
        <f ca="1">_xlfn.XLOOKUP(Orders[[#This Row],[ProductID]],Products!A:A,Products!D:D)</f>
        <v>149.99</v>
      </c>
      <c r="G148" t="str">
        <f ca="1">_xlfn.XLOOKUP(Orders[[#This Row],[CustomerID]],'Customers'!A:A,'Customers'!F:F)</f>
        <v>R02</v>
      </c>
      <c r="H148" t="str">
        <f>TEXT(Orders[[#This Row],[OrderDate]],"mmm")</f>
        <v>May</v>
      </c>
      <c r="I148" s="2">
        <f>YEAR(Orders[[#This Row],[OrderDate]])</f>
        <v>2025</v>
      </c>
      <c r="J148" s="4">
        <f ca="1">Orders[[#This Row],[Quantity]]*Orders[[#This Row],[UnitPrice]]</f>
        <v>749.95</v>
      </c>
      <c r="K148" s="4" t="str">
        <f ca="1">_xlfn.XLOOKUP(Orders[[#This Row],[CustomerID]],'Customers'!A:A,'Customers'!B:B)</f>
        <v>Chloe Clark</v>
      </c>
      <c r="L148" s="4" t="str">
        <f ca="1">_xlfn.XLOOKUP(Orders[[#This Row],[ProductID]],Products!A:A,Products!B:B)</f>
        <v>Monitor 24 inch</v>
      </c>
      <c r="M148" s="4" t="str">
        <f ca="1">_xlfn.XLOOKUP(Orders[[#This Row],[ProductID]],Products!A:A,Products!C:C)</f>
        <v>Electronics</v>
      </c>
      <c r="N148" s="4" t="str">
        <f ca="1">_xlfn.XLOOKUP(Orders[[#This Row],[RegionID]],'Regions'!A:A,'Regions'!B:B)</f>
        <v>North West</v>
      </c>
    </row>
    <row r="149" spans="1:14" x14ac:dyDescent="0.25">
      <c r="A149" s="3">
        <v>1148</v>
      </c>
      <c r="B149" s="1">
        <v>45792</v>
      </c>
      <c r="C149" t="str">
        <f t="shared" ca="1" si="3"/>
        <v>C013</v>
      </c>
      <c r="D149" t="str">
        <f t="shared" ca="1" si="4"/>
        <v>P013</v>
      </c>
      <c r="E149" s="3">
        <f t="shared" ca="1" si="5"/>
        <v>1</v>
      </c>
      <c r="F149" s="4">
        <f ca="1">_xlfn.XLOOKUP(Orders[[#This Row],[ProductID]],Products!A:A,Products!D:D)</f>
        <v>129.99</v>
      </c>
      <c r="G149" t="str">
        <f ca="1">_xlfn.XLOOKUP(Orders[[#This Row],[CustomerID]],'Customers'!A:A,'Customers'!F:F)</f>
        <v>R02</v>
      </c>
      <c r="H149" t="str">
        <f>TEXT(Orders[[#This Row],[OrderDate]],"mmm")</f>
        <v>May</v>
      </c>
      <c r="I149" s="2">
        <f>YEAR(Orders[[#This Row],[OrderDate]])</f>
        <v>2025</v>
      </c>
      <c r="J149" s="4">
        <f ca="1">Orders[[#This Row],[Quantity]]*Orders[[#This Row],[UnitPrice]]</f>
        <v>129.99</v>
      </c>
      <c r="K149" s="4" t="str">
        <f ca="1">_xlfn.XLOOKUP(Orders[[#This Row],[CustomerID]],'Customers'!A:A,'Customers'!B:B)</f>
        <v>Noah Martin</v>
      </c>
      <c r="L149" s="4" t="str">
        <f ca="1">_xlfn.XLOOKUP(Orders[[#This Row],[ProductID]],Products!A:A,Products!B:B)</f>
        <v>Printer</v>
      </c>
      <c r="M149" s="4" t="str">
        <f ca="1">_xlfn.XLOOKUP(Orders[[#This Row],[ProductID]],Products!A:A,Products!C:C)</f>
        <v>Electronics</v>
      </c>
      <c r="N149" s="4" t="str">
        <f ca="1">_xlfn.XLOOKUP(Orders[[#This Row],[RegionID]],'Regions'!A:A,'Regions'!B:B)</f>
        <v>North West</v>
      </c>
    </row>
    <row r="150" spans="1:14" x14ac:dyDescent="0.25">
      <c r="A150" s="3">
        <v>1149</v>
      </c>
      <c r="B150" s="1">
        <v>45793</v>
      </c>
      <c r="C150" t="str">
        <f t="shared" ca="1" si="3"/>
        <v>C021</v>
      </c>
      <c r="D150" t="str">
        <f t="shared" ca="1" si="4"/>
        <v>P015</v>
      </c>
      <c r="E150" s="3">
        <f t="shared" ca="1" si="5"/>
        <v>9</v>
      </c>
      <c r="F150" s="4">
        <f ca="1">_xlfn.XLOOKUP(Orders[[#This Row],[ProductID]],Products!A:A,Products!D:D)</f>
        <v>79.989999999999995</v>
      </c>
      <c r="G150" t="str">
        <f ca="1">_xlfn.XLOOKUP(Orders[[#This Row],[CustomerID]],'Customers'!A:A,'Customers'!F:F)</f>
        <v>R04</v>
      </c>
      <c r="H150" t="str">
        <f>TEXT(Orders[[#This Row],[OrderDate]],"mmm")</f>
        <v>May</v>
      </c>
      <c r="I150" s="2">
        <f>YEAR(Orders[[#This Row],[OrderDate]])</f>
        <v>2025</v>
      </c>
      <c r="J150" s="4">
        <f ca="1">Orders[[#This Row],[Quantity]]*Orders[[#This Row],[UnitPrice]]</f>
        <v>719.91</v>
      </c>
      <c r="K150" s="4" t="str">
        <f ca="1">_xlfn.XLOOKUP(Orders[[#This Row],[CustomerID]],'Customers'!A:A,'Customers'!B:B)</f>
        <v>Alfie Lee</v>
      </c>
      <c r="L150" s="4" t="str">
        <f ca="1">_xlfn.XLOOKUP(Orders[[#This Row],[ProductID]],Products!A:A,Products!B:B)</f>
        <v>Headphones</v>
      </c>
      <c r="M150" s="4" t="str">
        <f ca="1">_xlfn.XLOOKUP(Orders[[#This Row],[ProductID]],Products!A:A,Products!C:C)</f>
        <v>Electronics</v>
      </c>
      <c r="N150" s="4" t="str">
        <f ca="1">_xlfn.XLOOKUP(Orders[[#This Row],[RegionID]],'Regions'!A:A,'Regions'!B:B)</f>
        <v>Yorkshire</v>
      </c>
    </row>
    <row r="151" spans="1:14" x14ac:dyDescent="0.25">
      <c r="A151" s="3">
        <v>1150</v>
      </c>
      <c r="B151" s="1">
        <v>45796</v>
      </c>
      <c r="C151" t="str">
        <f t="shared" ca="1" si="3"/>
        <v>C017</v>
      </c>
      <c r="D151" t="str">
        <f t="shared" ca="1" si="4"/>
        <v>P001</v>
      </c>
      <c r="E151" s="3">
        <f t="shared" ca="1" si="5"/>
        <v>2</v>
      </c>
      <c r="F151" s="4">
        <f ca="1">_xlfn.XLOOKUP(Orders[[#This Row],[ProductID]],Products!A:A,Products!D:D)</f>
        <v>25.99</v>
      </c>
      <c r="G151" t="str">
        <f ca="1">_xlfn.XLOOKUP(Orders[[#This Row],[CustomerID]],'Customers'!A:A,'Customers'!F:F)</f>
        <v>R03</v>
      </c>
      <c r="H151" t="str">
        <f>TEXT(Orders[[#This Row],[OrderDate]],"mmm")</f>
        <v>May</v>
      </c>
      <c r="I151" s="2">
        <f>YEAR(Orders[[#This Row],[OrderDate]])</f>
        <v>2025</v>
      </c>
      <c r="J151" s="4">
        <f ca="1">Orders[[#This Row],[Quantity]]*Orders[[#This Row],[UnitPrice]]</f>
        <v>51.98</v>
      </c>
      <c r="K151" s="4" t="str">
        <f ca="1">_xlfn.XLOOKUP(Orders[[#This Row],[CustomerID]],'Customers'!A:A,'Customers'!B:B)</f>
        <v>Leo Robinson</v>
      </c>
      <c r="L151" s="4" t="str">
        <f ca="1">_xlfn.XLOOKUP(Orders[[#This Row],[ProductID]],Products!A:A,Products!B:B)</f>
        <v>Wireless Mouse</v>
      </c>
      <c r="M151" s="4" t="str">
        <f ca="1">_xlfn.XLOOKUP(Orders[[#This Row],[ProductID]],Products!A:A,Products!C:C)</f>
        <v>Electronics</v>
      </c>
      <c r="N151" s="4" t="str">
        <f ca="1">_xlfn.XLOOKUP(Orders[[#This Row],[RegionID]],'Regions'!A:A,'Regions'!B:B)</f>
        <v>Midlands</v>
      </c>
    </row>
    <row r="152" spans="1:14" x14ac:dyDescent="0.25">
      <c r="A152" s="3">
        <v>1151</v>
      </c>
      <c r="B152" s="1">
        <v>45797</v>
      </c>
      <c r="C152" t="str">
        <f t="shared" ca="1" si="3"/>
        <v>C028</v>
      </c>
      <c r="D152" t="str">
        <f t="shared" ca="1" si="4"/>
        <v>P012</v>
      </c>
      <c r="E152" s="3">
        <f t="shared" ca="1" si="5"/>
        <v>6</v>
      </c>
      <c r="F152" s="4">
        <f ca="1">_xlfn.XLOOKUP(Orders[[#This Row],[ProductID]],Products!A:A,Products!D:D)</f>
        <v>299.99</v>
      </c>
      <c r="G152" t="str">
        <f ca="1">_xlfn.XLOOKUP(Orders[[#This Row],[CustomerID]],'Customers'!A:A,'Customers'!F:F)</f>
        <v>R02</v>
      </c>
      <c r="H152" t="str">
        <f>TEXT(Orders[[#This Row],[OrderDate]],"mmm")</f>
        <v>May</v>
      </c>
      <c r="I152" s="2">
        <f>YEAR(Orders[[#This Row],[OrderDate]])</f>
        <v>2025</v>
      </c>
      <c r="J152" s="4">
        <f ca="1">Orders[[#This Row],[Quantity]]*Orders[[#This Row],[UnitPrice]]</f>
        <v>1799.94</v>
      </c>
      <c r="K152" s="4" t="str">
        <f ca="1">_xlfn.XLOOKUP(Orders[[#This Row],[CustomerID]],'Customers'!A:A,'Customers'!B:B)</f>
        <v>Ruby Scott</v>
      </c>
      <c r="L152" s="4" t="str">
        <f ca="1">_xlfn.XLOOKUP(Orders[[#This Row],[ProductID]],Products!A:A,Products!B:B)</f>
        <v>Tablet</v>
      </c>
      <c r="M152" s="4" t="str">
        <f ca="1">_xlfn.XLOOKUP(Orders[[#This Row],[ProductID]],Products!A:A,Products!C:C)</f>
        <v>Electronics</v>
      </c>
      <c r="N152" s="4" t="str">
        <f ca="1">_xlfn.XLOOKUP(Orders[[#This Row],[RegionID]],'Regions'!A:A,'Regions'!B:B)</f>
        <v>North West</v>
      </c>
    </row>
    <row r="153" spans="1:14" x14ac:dyDescent="0.25">
      <c r="A153" s="3">
        <v>1152</v>
      </c>
      <c r="B153" s="1">
        <v>45798</v>
      </c>
      <c r="C153" t="str">
        <f t="shared" ca="1" si="3"/>
        <v>C010</v>
      </c>
      <c r="D153" t="str">
        <f t="shared" ca="1" si="4"/>
        <v>P015</v>
      </c>
      <c r="E153" s="3">
        <f t="shared" ca="1" si="5"/>
        <v>6</v>
      </c>
      <c r="F153" s="4">
        <f ca="1">_xlfn.XLOOKUP(Orders[[#This Row],[ProductID]],Products!A:A,Products!D:D)</f>
        <v>79.989999999999995</v>
      </c>
      <c r="G153" t="str">
        <f ca="1">_xlfn.XLOOKUP(Orders[[#This Row],[CustomerID]],'Customers'!A:A,'Customers'!F:F)</f>
        <v>R03</v>
      </c>
      <c r="H153" t="str">
        <f>TEXT(Orders[[#This Row],[OrderDate]],"mmm")</f>
        <v>May</v>
      </c>
      <c r="I153" s="2">
        <f>YEAR(Orders[[#This Row],[OrderDate]])</f>
        <v>2025</v>
      </c>
      <c r="J153" s="4">
        <f ca="1">Orders[[#This Row],[Quantity]]*Orders[[#This Row],[UnitPrice]]</f>
        <v>479.93999999999994</v>
      </c>
      <c r="K153" s="4" t="str">
        <f ca="1">_xlfn.XLOOKUP(Orders[[#This Row],[CustomerID]],'Customers'!A:A,'Customers'!B:B)</f>
        <v>Ava Thomas</v>
      </c>
      <c r="L153" s="4" t="str">
        <f ca="1">_xlfn.XLOOKUP(Orders[[#This Row],[ProductID]],Products!A:A,Products!B:B)</f>
        <v>Headphones</v>
      </c>
      <c r="M153" s="4" t="str">
        <f ca="1">_xlfn.XLOOKUP(Orders[[#This Row],[ProductID]],Products!A:A,Products!C:C)</f>
        <v>Electronics</v>
      </c>
      <c r="N153" s="4" t="str">
        <f ca="1">_xlfn.XLOOKUP(Orders[[#This Row],[RegionID]],'Regions'!A:A,'Regions'!B:B)</f>
        <v>Midlands</v>
      </c>
    </row>
    <row r="154" spans="1:14" x14ac:dyDescent="0.25">
      <c r="A154" s="3">
        <v>1153</v>
      </c>
      <c r="B154" s="1">
        <v>45799</v>
      </c>
      <c r="C154" t="str">
        <f t="shared" ca="1" si="3"/>
        <v>C015</v>
      </c>
      <c r="D154" t="str">
        <f t="shared" ca="1" si="4"/>
        <v>P008</v>
      </c>
      <c r="E154" s="3">
        <f t="shared" ca="1" si="5"/>
        <v>9</v>
      </c>
      <c r="F154" s="4">
        <f ca="1">_xlfn.XLOOKUP(Orders[[#This Row],[ProductID]],Products!A:A,Products!D:D)</f>
        <v>149.99</v>
      </c>
      <c r="G154" t="str">
        <f ca="1">_xlfn.XLOOKUP(Orders[[#This Row],[CustomerID]],'Customers'!A:A,'Customers'!F:F)</f>
        <v>R01</v>
      </c>
      <c r="H154" t="str">
        <f>TEXT(Orders[[#This Row],[OrderDate]],"mmm")</f>
        <v>May</v>
      </c>
      <c r="I154" s="2">
        <f>YEAR(Orders[[#This Row],[OrderDate]])</f>
        <v>2025</v>
      </c>
      <c r="J154" s="4">
        <f ca="1">Orders[[#This Row],[Quantity]]*Orders[[#This Row],[UnitPrice]]</f>
        <v>1349.91</v>
      </c>
      <c r="K154" s="4" t="str">
        <f ca="1">_xlfn.XLOOKUP(Orders[[#This Row],[CustomerID]],'Customers'!A:A,'Customers'!B:B)</f>
        <v>Oscar Garcia</v>
      </c>
      <c r="L154" s="4" t="str">
        <f ca="1">_xlfn.XLOOKUP(Orders[[#This Row],[ProductID]],Products!A:A,Products!B:B)</f>
        <v>Monitor 24 inch</v>
      </c>
      <c r="M154" s="4" t="str">
        <f ca="1">_xlfn.XLOOKUP(Orders[[#This Row],[ProductID]],Products!A:A,Products!C:C)</f>
        <v>Electronics</v>
      </c>
      <c r="N154" s="4" t="str">
        <f ca="1">_xlfn.XLOOKUP(Orders[[#This Row],[RegionID]],'Regions'!A:A,'Regions'!B:B)</f>
        <v>London</v>
      </c>
    </row>
    <row r="155" spans="1:14" x14ac:dyDescent="0.25">
      <c r="A155" s="3">
        <v>1154</v>
      </c>
      <c r="B155" s="1">
        <v>45800</v>
      </c>
      <c r="C155" t="str">
        <f t="shared" ca="1" si="3"/>
        <v>C007</v>
      </c>
      <c r="D155" t="str">
        <f t="shared" ca="1" si="4"/>
        <v>P003</v>
      </c>
      <c r="E155" s="3">
        <f t="shared" ca="1" si="5"/>
        <v>1</v>
      </c>
      <c r="F155" s="4">
        <f ca="1">_xlfn.XLOOKUP(Orders[[#This Row],[ProductID]],Products!A:A,Products!D:D)</f>
        <v>199.99</v>
      </c>
      <c r="G155" t="str">
        <f ca="1">_xlfn.XLOOKUP(Orders[[#This Row],[CustomerID]],'Customers'!A:A,'Customers'!F:F)</f>
        <v>R05</v>
      </c>
      <c r="H155" t="str">
        <f>TEXT(Orders[[#This Row],[OrderDate]],"mmm")</f>
        <v>May</v>
      </c>
      <c r="I155" s="2">
        <f>YEAR(Orders[[#This Row],[OrderDate]])</f>
        <v>2025</v>
      </c>
      <c r="J155" s="4">
        <f ca="1">Orders[[#This Row],[Quantity]]*Orders[[#This Row],[UnitPrice]]</f>
        <v>199.99</v>
      </c>
      <c r="K155" s="4" t="str">
        <f ca="1">_xlfn.XLOOKUP(Orders[[#This Row],[CustomerID]],'Customers'!A:A,'Customers'!B:B)</f>
        <v>Jack Davies</v>
      </c>
      <c r="L155" s="4" t="str">
        <f ca="1">_xlfn.XLOOKUP(Orders[[#This Row],[ProductID]],Products!A:A,Products!B:B)</f>
        <v>Smartphone</v>
      </c>
      <c r="M155" s="4" t="str">
        <f ca="1">_xlfn.XLOOKUP(Orders[[#This Row],[ProductID]],Products!A:A,Products!C:C)</f>
        <v>Electronics</v>
      </c>
      <c r="N155" s="4" t="str">
        <f ca="1">_xlfn.XLOOKUP(Orders[[#This Row],[RegionID]],'Regions'!A:A,'Regions'!B:B)</f>
        <v>Scotland</v>
      </c>
    </row>
    <row r="156" spans="1:14" x14ac:dyDescent="0.25">
      <c r="A156" s="3">
        <v>1155</v>
      </c>
      <c r="B156" s="1">
        <v>45803</v>
      </c>
      <c r="C156" t="str">
        <f t="shared" ca="1" si="3"/>
        <v>C018</v>
      </c>
      <c r="D156" t="str">
        <f t="shared" ca="1" si="4"/>
        <v>P007</v>
      </c>
      <c r="E156" s="3">
        <f t="shared" ca="1" si="5"/>
        <v>5</v>
      </c>
      <c r="F156" s="4">
        <f ca="1">_xlfn.XLOOKUP(Orders[[#This Row],[ProductID]],Products!A:A,Products!D:D)</f>
        <v>45.99</v>
      </c>
      <c r="G156" t="str">
        <f ca="1">_xlfn.XLOOKUP(Orders[[#This Row],[CustomerID]],'Customers'!A:A,'Customers'!F:F)</f>
        <v>R02</v>
      </c>
      <c r="H156" t="str">
        <f>TEXT(Orders[[#This Row],[OrderDate]],"mmm")</f>
        <v>May</v>
      </c>
      <c r="I156" s="2">
        <f>YEAR(Orders[[#This Row],[OrderDate]])</f>
        <v>2025</v>
      </c>
      <c r="J156" s="4">
        <f ca="1">Orders[[#This Row],[Quantity]]*Orders[[#This Row],[UnitPrice]]</f>
        <v>229.95000000000002</v>
      </c>
      <c r="K156" s="4" t="str">
        <f ca="1">_xlfn.XLOOKUP(Orders[[#This Row],[CustomerID]],'Customers'!A:A,'Customers'!B:B)</f>
        <v>Chloe Clark</v>
      </c>
      <c r="L156" s="4" t="str">
        <f ca="1">_xlfn.XLOOKUP(Orders[[#This Row],[ProductID]],Products!A:A,Products!B:B)</f>
        <v>Bluetooth Keyboard</v>
      </c>
      <c r="M156" s="4" t="str">
        <f ca="1">_xlfn.XLOOKUP(Orders[[#This Row],[ProductID]],Products!A:A,Products!C:C)</f>
        <v>Electronics</v>
      </c>
      <c r="N156" s="4" t="str">
        <f ca="1">_xlfn.XLOOKUP(Orders[[#This Row],[RegionID]],'Regions'!A:A,'Regions'!B:B)</f>
        <v>North West</v>
      </c>
    </row>
    <row r="157" spans="1:14" x14ac:dyDescent="0.25">
      <c r="A157" s="3">
        <v>1156</v>
      </c>
      <c r="B157" s="1">
        <v>45804</v>
      </c>
      <c r="C157" t="str">
        <f t="shared" ca="1" si="3"/>
        <v>C025</v>
      </c>
      <c r="D157" t="str">
        <f t="shared" ca="1" si="4"/>
        <v>P003</v>
      </c>
      <c r="E157" s="3">
        <f t="shared" ca="1" si="5"/>
        <v>3</v>
      </c>
      <c r="F157" s="4">
        <f ca="1">_xlfn.XLOOKUP(Orders[[#This Row],[ProductID]],Products!A:A,Products!D:D)</f>
        <v>199.99</v>
      </c>
      <c r="G157" t="str">
        <f ca="1">_xlfn.XLOOKUP(Orders[[#This Row],[CustomerID]],'Customers'!A:A,'Customers'!F:F)</f>
        <v>R05</v>
      </c>
      <c r="H157" t="str">
        <f>TEXT(Orders[[#This Row],[OrderDate]],"mmm")</f>
        <v>May</v>
      </c>
      <c r="I157" s="2">
        <f>YEAR(Orders[[#This Row],[OrderDate]])</f>
        <v>2025</v>
      </c>
      <c r="J157" s="4">
        <f ca="1">Orders[[#This Row],[Quantity]]*Orders[[#This Row],[UnitPrice]]</f>
        <v>599.97</v>
      </c>
      <c r="K157" s="4" t="str">
        <f ca="1">_xlfn.XLOOKUP(Orders[[#This Row],[CustomerID]],'Customers'!A:A,'Customers'!B:B)</f>
        <v>Theo Young</v>
      </c>
      <c r="L157" s="4" t="str">
        <f ca="1">_xlfn.XLOOKUP(Orders[[#This Row],[ProductID]],Products!A:A,Products!B:B)</f>
        <v>Smartphone</v>
      </c>
      <c r="M157" s="4" t="str">
        <f ca="1">_xlfn.XLOOKUP(Orders[[#This Row],[ProductID]],Products!A:A,Products!C:C)</f>
        <v>Electronics</v>
      </c>
      <c r="N157" s="4" t="str">
        <f ca="1">_xlfn.XLOOKUP(Orders[[#This Row],[RegionID]],'Regions'!A:A,'Regions'!B:B)</f>
        <v>Scotland</v>
      </c>
    </row>
    <row r="158" spans="1:14" x14ac:dyDescent="0.25">
      <c r="A158" s="3">
        <v>1157</v>
      </c>
      <c r="B158" s="1">
        <v>45805</v>
      </c>
      <c r="C158" t="str">
        <f t="shared" ca="1" si="3"/>
        <v>C012</v>
      </c>
      <c r="D158" t="str">
        <f t="shared" ca="1" si="4"/>
        <v>P012</v>
      </c>
      <c r="E158" s="3">
        <f t="shared" ca="1" si="5"/>
        <v>7</v>
      </c>
      <c r="F158" s="4">
        <f ca="1">_xlfn.XLOOKUP(Orders[[#This Row],[ProductID]],Products!A:A,Products!D:D)</f>
        <v>299.99</v>
      </c>
      <c r="G158" t="str">
        <f ca="1">_xlfn.XLOOKUP(Orders[[#This Row],[CustomerID]],'Customers'!A:A,'Customers'!F:F)</f>
        <v>R03</v>
      </c>
      <c r="H158" t="str">
        <f>TEXT(Orders[[#This Row],[OrderDate]],"mmm")</f>
        <v>May</v>
      </c>
      <c r="I158" s="2">
        <f>YEAR(Orders[[#This Row],[OrderDate]])</f>
        <v>2025</v>
      </c>
      <c r="J158" s="4">
        <f ca="1">Orders[[#This Row],[Quantity]]*Orders[[#This Row],[UnitPrice]]</f>
        <v>2099.9300000000003</v>
      </c>
      <c r="K158" s="4" t="str">
        <f ca="1">_xlfn.XLOOKUP(Orders[[#This Row],[CustomerID]],'Customers'!A:A,'Customers'!B:B)</f>
        <v>Mia Harris</v>
      </c>
      <c r="L158" s="4" t="str">
        <f ca="1">_xlfn.XLOOKUP(Orders[[#This Row],[ProductID]],Products!A:A,Products!B:B)</f>
        <v>Tablet</v>
      </c>
      <c r="M158" s="4" t="str">
        <f ca="1">_xlfn.XLOOKUP(Orders[[#This Row],[ProductID]],Products!A:A,Products!C:C)</f>
        <v>Electronics</v>
      </c>
      <c r="N158" s="4" t="str">
        <f ca="1">_xlfn.XLOOKUP(Orders[[#This Row],[RegionID]],'Regions'!A:A,'Regions'!B:B)</f>
        <v>Midlands</v>
      </c>
    </row>
    <row r="159" spans="1:14" x14ac:dyDescent="0.25">
      <c r="A159" s="3">
        <v>1158</v>
      </c>
      <c r="B159" s="1">
        <v>45806</v>
      </c>
      <c r="C159" t="str">
        <f t="shared" ca="1" si="3"/>
        <v>C002</v>
      </c>
      <c r="D159" t="str">
        <f t="shared" ca="1" si="4"/>
        <v>P001</v>
      </c>
      <c r="E159" s="3">
        <f t="shared" ca="1" si="5"/>
        <v>2</v>
      </c>
      <c r="F159" s="4">
        <f ca="1">_xlfn.XLOOKUP(Orders[[#This Row],[ProductID]],Products!A:A,Products!D:D)</f>
        <v>25.99</v>
      </c>
      <c r="G159" t="str">
        <f ca="1">_xlfn.XLOOKUP(Orders[[#This Row],[CustomerID]],'Customers'!A:A,'Customers'!F:F)</f>
        <v>R02</v>
      </c>
      <c r="H159" t="str">
        <f>TEXT(Orders[[#This Row],[OrderDate]],"mmm")</f>
        <v>May</v>
      </c>
      <c r="I159" s="2">
        <f>YEAR(Orders[[#This Row],[OrderDate]])</f>
        <v>2025</v>
      </c>
      <c r="J159" s="4">
        <f ca="1">Orders[[#This Row],[Quantity]]*Orders[[#This Row],[UnitPrice]]</f>
        <v>51.98</v>
      </c>
      <c r="K159" s="4" t="str">
        <f ca="1">_xlfn.XLOOKUP(Orders[[#This Row],[CustomerID]],'Customers'!A:A,'Customers'!B:B)</f>
        <v>Emily Johnson</v>
      </c>
      <c r="L159" s="4" t="str">
        <f ca="1">_xlfn.XLOOKUP(Orders[[#This Row],[ProductID]],Products!A:A,Products!B:B)</f>
        <v>Wireless Mouse</v>
      </c>
      <c r="M159" s="4" t="str">
        <f ca="1">_xlfn.XLOOKUP(Orders[[#This Row],[ProductID]],Products!A:A,Products!C:C)</f>
        <v>Electronics</v>
      </c>
      <c r="N159" s="4" t="str">
        <f ca="1">_xlfn.XLOOKUP(Orders[[#This Row],[RegionID]],'Regions'!A:A,'Regions'!B:B)</f>
        <v>North West</v>
      </c>
    </row>
    <row r="160" spans="1:14" x14ac:dyDescent="0.25">
      <c r="A160" s="3">
        <v>1159</v>
      </c>
      <c r="B160" s="1">
        <v>45807</v>
      </c>
      <c r="C160" t="str">
        <f t="shared" ca="1" si="3"/>
        <v>C025</v>
      </c>
      <c r="D160" t="str">
        <f t="shared" ca="1" si="4"/>
        <v>P017</v>
      </c>
      <c r="E160" s="3">
        <f t="shared" ca="1" si="5"/>
        <v>7</v>
      </c>
      <c r="F160" s="4">
        <f ca="1">_xlfn.XLOOKUP(Orders[[#This Row],[ProductID]],Products!A:A,Products!D:D)</f>
        <v>3.99</v>
      </c>
      <c r="G160" t="str">
        <f ca="1">_xlfn.XLOOKUP(Orders[[#This Row],[CustomerID]],'Customers'!A:A,'Customers'!F:F)</f>
        <v>R05</v>
      </c>
      <c r="H160" t="str">
        <f>TEXT(Orders[[#This Row],[OrderDate]],"mmm")</f>
        <v>May</v>
      </c>
      <c r="I160" s="2">
        <f>YEAR(Orders[[#This Row],[OrderDate]])</f>
        <v>2025</v>
      </c>
      <c r="J160" s="4">
        <f ca="1">Orders[[#This Row],[Quantity]]*Orders[[#This Row],[UnitPrice]]</f>
        <v>27.93</v>
      </c>
      <c r="K160" s="4" t="str">
        <f ca="1">_xlfn.XLOOKUP(Orders[[#This Row],[CustomerID]],'Customers'!A:A,'Customers'!B:B)</f>
        <v>Theo Young</v>
      </c>
      <c r="L160" s="4" t="str">
        <f ca="1">_xlfn.XLOOKUP(Orders[[#This Row],[ProductID]],Products!A:A,Products!B:B)</f>
        <v>Sticky Notes</v>
      </c>
      <c r="M160" s="4" t="str">
        <f ca="1">_xlfn.XLOOKUP(Orders[[#This Row],[ProductID]],Products!A:A,Products!C:C)</f>
        <v>Stationery</v>
      </c>
      <c r="N160" s="4" t="str">
        <f ca="1">_xlfn.XLOOKUP(Orders[[#This Row],[RegionID]],'Regions'!A:A,'Regions'!B:B)</f>
        <v>Scotland</v>
      </c>
    </row>
    <row r="161" spans="1:14" x14ac:dyDescent="0.25">
      <c r="A161" s="3">
        <v>1160</v>
      </c>
      <c r="B161" s="1">
        <v>45810</v>
      </c>
      <c r="C161" t="str">
        <f t="shared" ca="1" si="3"/>
        <v>C027</v>
      </c>
      <c r="D161" t="str">
        <f t="shared" ca="1" si="4"/>
        <v>P003</v>
      </c>
      <c r="E161" s="3">
        <f t="shared" ca="1" si="5"/>
        <v>10</v>
      </c>
      <c r="F161" s="4">
        <f ca="1">_xlfn.XLOOKUP(Orders[[#This Row],[ProductID]],Products!A:A,Products!D:D)</f>
        <v>199.99</v>
      </c>
      <c r="G161" t="str">
        <f ca="1">_xlfn.XLOOKUP(Orders[[#This Row],[CustomerID]],'Customers'!A:A,'Customers'!F:F)</f>
        <v>R04</v>
      </c>
      <c r="H161" t="str">
        <f>TEXT(Orders[[#This Row],[OrderDate]],"mmm")</f>
        <v>Jun</v>
      </c>
      <c r="I161" s="2">
        <f>YEAR(Orders[[#This Row],[OrderDate]])</f>
        <v>2025</v>
      </c>
      <c r="J161" s="4">
        <f ca="1">Orders[[#This Row],[Quantity]]*Orders[[#This Row],[UnitPrice]]</f>
        <v>1999.9</v>
      </c>
      <c r="K161" s="4" t="str">
        <f ca="1">_xlfn.XLOOKUP(Orders[[#This Row],[CustomerID]],'Customers'!A:A,'Customers'!B:B)</f>
        <v>Henry Wright</v>
      </c>
      <c r="L161" s="4" t="str">
        <f ca="1">_xlfn.XLOOKUP(Orders[[#This Row],[ProductID]],Products!A:A,Products!B:B)</f>
        <v>Smartphone</v>
      </c>
      <c r="M161" s="4" t="str">
        <f ca="1">_xlfn.XLOOKUP(Orders[[#This Row],[ProductID]],Products!A:A,Products!C:C)</f>
        <v>Electronics</v>
      </c>
      <c r="N161" s="4" t="str">
        <f ca="1">_xlfn.XLOOKUP(Orders[[#This Row],[RegionID]],'Regions'!A:A,'Regions'!B:B)</f>
        <v>Yorkshire</v>
      </c>
    </row>
    <row r="162" spans="1:14" x14ac:dyDescent="0.25">
      <c r="A162" s="3">
        <v>1161</v>
      </c>
      <c r="B162" s="1">
        <v>45811</v>
      </c>
      <c r="C162" t="str">
        <f t="shared" ca="1" si="3"/>
        <v>C003</v>
      </c>
      <c r="D162" t="str">
        <f t="shared" ca="1" si="4"/>
        <v>P019</v>
      </c>
      <c r="E162" s="3">
        <f t="shared" ca="1" si="5"/>
        <v>6</v>
      </c>
      <c r="F162" s="4">
        <f ca="1">_xlfn.XLOOKUP(Orders[[#This Row],[ProductID]],Products!A:A,Products!D:D)</f>
        <v>59.99</v>
      </c>
      <c r="G162" t="str">
        <f ca="1">_xlfn.XLOOKUP(Orders[[#This Row],[CustomerID]],'Customers'!A:A,'Customers'!F:F)</f>
        <v>R03</v>
      </c>
      <c r="H162" t="str">
        <f>TEXT(Orders[[#This Row],[OrderDate]],"mmm")</f>
        <v>Jun</v>
      </c>
      <c r="I162" s="2">
        <f>YEAR(Orders[[#This Row],[OrderDate]])</f>
        <v>2025</v>
      </c>
      <c r="J162" s="4">
        <f ca="1">Orders[[#This Row],[Quantity]]*Orders[[#This Row],[UnitPrice]]</f>
        <v>359.94</v>
      </c>
      <c r="K162" s="4" t="str">
        <f ca="1">_xlfn.XLOOKUP(Orders[[#This Row],[CustomerID]],'Customers'!A:A,'Customers'!B:B)</f>
        <v>Oliver Brown</v>
      </c>
      <c r="L162" s="4" t="str">
        <f ca="1">_xlfn.XLOOKUP(Orders[[#This Row],[ProductID]],Products!A:A,Products!B:B)</f>
        <v>Webcam</v>
      </c>
      <c r="M162" s="4" t="str">
        <f ca="1">_xlfn.XLOOKUP(Orders[[#This Row],[ProductID]],Products!A:A,Products!C:C)</f>
        <v>Electronics</v>
      </c>
      <c r="N162" s="4" t="str">
        <f ca="1">_xlfn.XLOOKUP(Orders[[#This Row],[RegionID]],'Regions'!A:A,'Regions'!B:B)</f>
        <v>Midlands</v>
      </c>
    </row>
    <row r="163" spans="1:14" x14ac:dyDescent="0.25">
      <c r="A163" s="3">
        <v>1162</v>
      </c>
      <c r="B163" s="1">
        <v>45812</v>
      </c>
      <c r="C163" t="str">
        <f t="shared" ca="1" si="3"/>
        <v>C015</v>
      </c>
      <c r="D163" t="str">
        <f t="shared" ca="1" si="4"/>
        <v>P013</v>
      </c>
      <c r="E163" s="3">
        <f t="shared" ca="1" si="5"/>
        <v>10</v>
      </c>
      <c r="F163" s="4">
        <f ca="1">_xlfn.XLOOKUP(Orders[[#This Row],[ProductID]],Products!A:A,Products!D:D)</f>
        <v>129.99</v>
      </c>
      <c r="G163" t="str">
        <f ca="1">_xlfn.XLOOKUP(Orders[[#This Row],[CustomerID]],'Customers'!A:A,'Customers'!F:F)</f>
        <v>R01</v>
      </c>
      <c r="H163" t="str">
        <f>TEXT(Orders[[#This Row],[OrderDate]],"mmm")</f>
        <v>Jun</v>
      </c>
      <c r="I163" s="2">
        <f>YEAR(Orders[[#This Row],[OrderDate]])</f>
        <v>2025</v>
      </c>
      <c r="J163" s="4">
        <f ca="1">Orders[[#This Row],[Quantity]]*Orders[[#This Row],[UnitPrice]]</f>
        <v>1299.9000000000001</v>
      </c>
      <c r="K163" s="4" t="str">
        <f ca="1">_xlfn.XLOOKUP(Orders[[#This Row],[CustomerID]],'Customers'!A:A,'Customers'!B:B)</f>
        <v>Oscar Garcia</v>
      </c>
      <c r="L163" s="4" t="str">
        <f ca="1">_xlfn.XLOOKUP(Orders[[#This Row],[ProductID]],Products!A:A,Products!B:B)</f>
        <v>Printer</v>
      </c>
      <c r="M163" s="4" t="str">
        <f ca="1">_xlfn.XLOOKUP(Orders[[#This Row],[ProductID]],Products!A:A,Products!C:C)</f>
        <v>Electronics</v>
      </c>
      <c r="N163" s="4" t="str">
        <f ca="1">_xlfn.XLOOKUP(Orders[[#This Row],[RegionID]],'Regions'!A:A,'Regions'!B:B)</f>
        <v>London</v>
      </c>
    </row>
    <row r="164" spans="1:14" x14ac:dyDescent="0.25">
      <c r="A164" s="3">
        <v>1163</v>
      </c>
      <c r="B164" s="1">
        <v>45813</v>
      </c>
      <c r="C164" t="str">
        <f t="shared" ca="1" si="3"/>
        <v>C027</v>
      </c>
      <c r="D164" t="str">
        <f t="shared" ca="1" si="4"/>
        <v>P002</v>
      </c>
      <c r="E164" s="3">
        <f t="shared" ca="1" si="5"/>
        <v>4</v>
      </c>
      <c r="F164" s="4">
        <f ca="1">_xlfn.XLOOKUP(Orders[[#This Row],[ProductID]],Products!A:A,Products!D:D)</f>
        <v>15.5</v>
      </c>
      <c r="G164" t="str">
        <f ca="1">_xlfn.XLOOKUP(Orders[[#This Row],[CustomerID]],'Customers'!A:A,'Customers'!F:F)</f>
        <v>R04</v>
      </c>
      <c r="H164" t="str">
        <f>TEXT(Orders[[#This Row],[OrderDate]],"mmm")</f>
        <v>Jun</v>
      </c>
      <c r="I164" s="2">
        <f>YEAR(Orders[[#This Row],[OrderDate]])</f>
        <v>2025</v>
      </c>
      <c r="J164" s="4">
        <f ca="1">Orders[[#This Row],[Quantity]]*Orders[[#This Row],[UnitPrice]]</f>
        <v>62</v>
      </c>
      <c r="K164" s="4" t="str">
        <f ca="1">_xlfn.XLOOKUP(Orders[[#This Row],[CustomerID]],'Customers'!A:A,'Customers'!B:B)</f>
        <v>Henry Wright</v>
      </c>
      <c r="L164" s="4" t="str">
        <f ca="1">_xlfn.XLOOKUP(Orders[[#This Row],[ProductID]],Products!A:A,Products!B:B)</f>
        <v>Notebook</v>
      </c>
      <c r="M164" s="4" t="str">
        <f ca="1">_xlfn.XLOOKUP(Orders[[#This Row],[ProductID]],Products!A:A,Products!C:C)</f>
        <v>Stationery</v>
      </c>
      <c r="N164" s="4" t="str">
        <f ca="1">_xlfn.XLOOKUP(Orders[[#This Row],[RegionID]],'Regions'!A:A,'Regions'!B:B)</f>
        <v>Yorkshire</v>
      </c>
    </row>
    <row r="165" spans="1:14" x14ac:dyDescent="0.25">
      <c r="A165" s="3">
        <v>1164</v>
      </c>
      <c r="B165" s="1">
        <v>45814</v>
      </c>
      <c r="C165" t="str">
        <f t="shared" ca="1" si="3"/>
        <v>C022</v>
      </c>
      <c r="D165" t="str">
        <f t="shared" ca="1" si="4"/>
        <v>P017</v>
      </c>
      <c r="E165" s="3">
        <f t="shared" ca="1" si="5"/>
        <v>7</v>
      </c>
      <c r="F165" s="4">
        <f ca="1">_xlfn.XLOOKUP(Orders[[#This Row],[ProductID]],Products!A:A,Products!D:D)</f>
        <v>3.99</v>
      </c>
      <c r="G165" t="str">
        <f ca="1">_xlfn.XLOOKUP(Orders[[#This Row],[CustomerID]],'Customers'!A:A,'Customers'!F:F)</f>
        <v>R03</v>
      </c>
      <c r="H165" t="str">
        <f>TEXT(Orders[[#This Row],[OrderDate]],"mmm")</f>
        <v>Jun</v>
      </c>
      <c r="I165" s="2">
        <f>YEAR(Orders[[#This Row],[OrderDate]])</f>
        <v>2025</v>
      </c>
      <c r="J165" s="4">
        <f ca="1">Orders[[#This Row],[Quantity]]*Orders[[#This Row],[UnitPrice]]</f>
        <v>27.93</v>
      </c>
      <c r="K165" s="4" t="str">
        <f ca="1">_xlfn.XLOOKUP(Orders[[#This Row],[CustomerID]],'Customers'!A:A,'Customers'!B:B)</f>
        <v>Evie Walker</v>
      </c>
      <c r="L165" s="4" t="str">
        <f ca="1">_xlfn.XLOOKUP(Orders[[#This Row],[ProductID]],Products!A:A,Products!B:B)</f>
        <v>Sticky Notes</v>
      </c>
      <c r="M165" s="4" t="str">
        <f ca="1">_xlfn.XLOOKUP(Orders[[#This Row],[ProductID]],Products!A:A,Products!C:C)</f>
        <v>Stationery</v>
      </c>
      <c r="N165" s="4" t="str">
        <f ca="1">_xlfn.XLOOKUP(Orders[[#This Row],[RegionID]],'Regions'!A:A,'Regions'!B:B)</f>
        <v>Midlands</v>
      </c>
    </row>
    <row r="166" spans="1:14" x14ac:dyDescent="0.25">
      <c r="A166" s="3">
        <v>1165</v>
      </c>
      <c r="B166" s="1">
        <v>45817</v>
      </c>
      <c r="C166" t="str">
        <f t="shared" ca="1" si="3"/>
        <v>C027</v>
      </c>
      <c r="D166" t="str">
        <f t="shared" ca="1" si="4"/>
        <v>P014</v>
      </c>
      <c r="E166" s="3">
        <f t="shared" ca="1" si="5"/>
        <v>5</v>
      </c>
      <c r="F166" s="4">
        <f ca="1">_xlfn.XLOOKUP(Orders[[#This Row],[ProductID]],Products!A:A,Products!D:D)</f>
        <v>19.989999999999998</v>
      </c>
      <c r="G166" t="str">
        <f ca="1">_xlfn.XLOOKUP(Orders[[#This Row],[CustomerID]],'Customers'!A:A,'Customers'!F:F)</f>
        <v>R04</v>
      </c>
      <c r="H166" t="str">
        <f>TEXT(Orders[[#This Row],[OrderDate]],"mmm")</f>
        <v>Jun</v>
      </c>
      <c r="I166" s="2">
        <f>YEAR(Orders[[#This Row],[OrderDate]])</f>
        <v>2025</v>
      </c>
      <c r="J166" s="4">
        <f ca="1">Orders[[#This Row],[Quantity]]*Orders[[#This Row],[UnitPrice]]</f>
        <v>99.949999999999989</v>
      </c>
      <c r="K166" s="4" t="str">
        <f ca="1">_xlfn.XLOOKUP(Orders[[#This Row],[CustomerID]],'Customers'!A:A,'Customers'!B:B)</f>
        <v>Henry Wright</v>
      </c>
      <c r="L166" s="4" t="str">
        <f ca="1">_xlfn.XLOOKUP(Orders[[#This Row],[ProductID]],Products!A:A,Products!B:B)</f>
        <v>Desk Organizer</v>
      </c>
      <c r="M166" s="4" t="str">
        <f ca="1">_xlfn.XLOOKUP(Orders[[#This Row],[ProductID]],Products!A:A,Products!C:C)</f>
        <v>Office Supplies</v>
      </c>
      <c r="N166" s="4" t="str">
        <f ca="1">_xlfn.XLOOKUP(Orders[[#This Row],[RegionID]],'Regions'!A:A,'Regions'!B:B)</f>
        <v>Yorkshire</v>
      </c>
    </row>
    <row r="167" spans="1:14" x14ac:dyDescent="0.25">
      <c r="A167" s="3">
        <v>1166</v>
      </c>
      <c r="B167" s="1">
        <v>45818</v>
      </c>
      <c r="C167" t="str">
        <f t="shared" ca="1" si="3"/>
        <v>C016</v>
      </c>
      <c r="D167" t="str">
        <f t="shared" ca="1" si="4"/>
        <v>P012</v>
      </c>
      <c r="E167" s="3">
        <f t="shared" ca="1" si="5"/>
        <v>8</v>
      </c>
      <c r="F167" s="4">
        <f ca="1">_xlfn.XLOOKUP(Orders[[#This Row],[ProductID]],Products!A:A,Products!D:D)</f>
        <v>299.99</v>
      </c>
      <c r="G167" t="str">
        <f ca="1">_xlfn.XLOOKUP(Orders[[#This Row],[CustomerID]],'Customers'!A:A,'Customers'!F:F)</f>
        <v>R01</v>
      </c>
      <c r="H167" t="str">
        <f>TEXT(Orders[[#This Row],[OrderDate]],"mmm")</f>
        <v>Jun</v>
      </c>
      <c r="I167" s="2">
        <f>YEAR(Orders[[#This Row],[OrderDate]])</f>
        <v>2025</v>
      </c>
      <c r="J167" s="4">
        <f ca="1">Orders[[#This Row],[Quantity]]*Orders[[#This Row],[UnitPrice]]</f>
        <v>2399.92</v>
      </c>
      <c r="K167" s="4" t="str">
        <f ca="1">_xlfn.XLOOKUP(Orders[[#This Row],[CustomerID]],'Customers'!A:A,'Customers'!B:B)</f>
        <v>Grace Martinez</v>
      </c>
      <c r="L167" s="4" t="str">
        <f ca="1">_xlfn.XLOOKUP(Orders[[#This Row],[ProductID]],Products!A:A,Products!B:B)</f>
        <v>Tablet</v>
      </c>
      <c r="M167" s="4" t="str">
        <f ca="1">_xlfn.XLOOKUP(Orders[[#This Row],[ProductID]],Products!A:A,Products!C:C)</f>
        <v>Electronics</v>
      </c>
      <c r="N167" s="4" t="str">
        <f ca="1">_xlfn.XLOOKUP(Orders[[#This Row],[RegionID]],'Regions'!A:A,'Regions'!B:B)</f>
        <v>London</v>
      </c>
    </row>
    <row r="168" spans="1:14" x14ac:dyDescent="0.25">
      <c r="A168" s="3">
        <v>1167</v>
      </c>
      <c r="B168" s="1">
        <v>45819</v>
      </c>
      <c r="C168" t="str">
        <f t="shared" ca="1" si="3"/>
        <v>C019</v>
      </c>
      <c r="D168" t="str">
        <f t="shared" ca="1" si="4"/>
        <v>P008</v>
      </c>
      <c r="E168" s="3">
        <f t="shared" ca="1" si="5"/>
        <v>2</v>
      </c>
      <c r="F168" s="4">
        <f ca="1">_xlfn.XLOOKUP(Orders[[#This Row],[ProductID]],Products!A:A,Products!D:D)</f>
        <v>149.99</v>
      </c>
      <c r="G168" t="str">
        <f ca="1">_xlfn.XLOOKUP(Orders[[#This Row],[CustomerID]],'Customers'!A:A,'Customers'!F:F)</f>
        <v>R02</v>
      </c>
      <c r="H168" t="str">
        <f>TEXT(Orders[[#This Row],[OrderDate]],"mmm")</f>
        <v>Jun</v>
      </c>
      <c r="I168" s="2">
        <f>YEAR(Orders[[#This Row],[OrderDate]])</f>
        <v>2025</v>
      </c>
      <c r="J168" s="4">
        <f ca="1">Orders[[#This Row],[Quantity]]*Orders[[#This Row],[UnitPrice]]</f>
        <v>299.98</v>
      </c>
      <c r="K168" s="4" t="str">
        <f ca="1">_xlfn.XLOOKUP(Orders[[#This Row],[CustomerID]],'Customers'!A:A,'Customers'!B:B)</f>
        <v>Freddie Rodriguez</v>
      </c>
      <c r="L168" s="4" t="str">
        <f ca="1">_xlfn.XLOOKUP(Orders[[#This Row],[ProductID]],Products!A:A,Products!B:B)</f>
        <v>Monitor 24 inch</v>
      </c>
      <c r="M168" s="4" t="str">
        <f ca="1">_xlfn.XLOOKUP(Orders[[#This Row],[ProductID]],Products!A:A,Products!C:C)</f>
        <v>Electronics</v>
      </c>
      <c r="N168" s="4" t="str">
        <f ca="1">_xlfn.XLOOKUP(Orders[[#This Row],[RegionID]],'Regions'!A:A,'Regions'!B:B)</f>
        <v>North West</v>
      </c>
    </row>
    <row r="169" spans="1:14" x14ac:dyDescent="0.25">
      <c r="A169" s="3">
        <v>1168</v>
      </c>
      <c r="B169" s="1">
        <v>45820</v>
      </c>
      <c r="C169" t="str">
        <f t="shared" ca="1" si="3"/>
        <v>C017</v>
      </c>
      <c r="D169" t="str">
        <f t="shared" ca="1" si="4"/>
        <v>P001</v>
      </c>
      <c r="E169" s="3">
        <f t="shared" ca="1" si="5"/>
        <v>2</v>
      </c>
      <c r="F169" s="4">
        <f ca="1">_xlfn.XLOOKUP(Orders[[#This Row],[ProductID]],Products!A:A,Products!D:D)</f>
        <v>25.99</v>
      </c>
      <c r="G169" t="str">
        <f ca="1">_xlfn.XLOOKUP(Orders[[#This Row],[CustomerID]],'Customers'!A:A,'Customers'!F:F)</f>
        <v>R03</v>
      </c>
      <c r="H169" t="str">
        <f>TEXT(Orders[[#This Row],[OrderDate]],"mmm")</f>
        <v>Jun</v>
      </c>
      <c r="I169" s="2">
        <f>YEAR(Orders[[#This Row],[OrderDate]])</f>
        <v>2025</v>
      </c>
      <c r="J169" s="4">
        <f ca="1">Orders[[#This Row],[Quantity]]*Orders[[#This Row],[UnitPrice]]</f>
        <v>51.98</v>
      </c>
      <c r="K169" s="4" t="str">
        <f ca="1">_xlfn.XLOOKUP(Orders[[#This Row],[CustomerID]],'Customers'!A:A,'Customers'!B:B)</f>
        <v>Leo Robinson</v>
      </c>
      <c r="L169" s="4" t="str">
        <f ca="1">_xlfn.XLOOKUP(Orders[[#This Row],[ProductID]],Products!A:A,Products!B:B)</f>
        <v>Wireless Mouse</v>
      </c>
      <c r="M169" s="4" t="str">
        <f ca="1">_xlfn.XLOOKUP(Orders[[#This Row],[ProductID]],Products!A:A,Products!C:C)</f>
        <v>Electronics</v>
      </c>
      <c r="N169" s="4" t="str">
        <f ca="1">_xlfn.XLOOKUP(Orders[[#This Row],[RegionID]],'Regions'!A:A,'Regions'!B:B)</f>
        <v>Midlands</v>
      </c>
    </row>
    <row r="170" spans="1:14" x14ac:dyDescent="0.25">
      <c r="A170" s="3">
        <v>1169</v>
      </c>
      <c r="B170" s="1">
        <v>45821</v>
      </c>
      <c r="C170" t="str">
        <f t="shared" ca="1" si="3"/>
        <v>C028</v>
      </c>
      <c r="D170" t="str">
        <f t="shared" ca="1" si="4"/>
        <v>P018</v>
      </c>
      <c r="E170" s="3">
        <f t="shared" ca="1" si="5"/>
        <v>8</v>
      </c>
      <c r="F170" s="4">
        <f ca="1">_xlfn.XLOOKUP(Orders[[#This Row],[ProductID]],Products!A:A,Products!D:D)</f>
        <v>29.99</v>
      </c>
      <c r="G170" t="str">
        <f ca="1">_xlfn.XLOOKUP(Orders[[#This Row],[CustomerID]],'Customers'!A:A,'Customers'!F:F)</f>
        <v>R02</v>
      </c>
      <c r="H170" t="str">
        <f>TEXT(Orders[[#This Row],[OrderDate]],"mmm")</f>
        <v>Jun</v>
      </c>
      <c r="I170" s="2">
        <f>YEAR(Orders[[#This Row],[OrderDate]])</f>
        <v>2025</v>
      </c>
      <c r="J170" s="4">
        <f ca="1">Orders[[#This Row],[Quantity]]*Orders[[#This Row],[UnitPrice]]</f>
        <v>239.92</v>
      </c>
      <c r="K170" s="4" t="str">
        <f ca="1">_xlfn.XLOOKUP(Orders[[#This Row],[CustomerID]],'Customers'!A:A,'Customers'!B:B)</f>
        <v>Ruby Scott</v>
      </c>
      <c r="L170" s="4" t="str">
        <f ca="1">_xlfn.XLOOKUP(Orders[[#This Row],[ProductID]],Products!A:A,Products!B:B)</f>
        <v>Laptop Stand</v>
      </c>
      <c r="M170" s="4" t="str">
        <f ca="1">_xlfn.XLOOKUP(Orders[[#This Row],[ProductID]],Products!A:A,Products!C:C)</f>
        <v>Accessories</v>
      </c>
      <c r="N170" s="4" t="str">
        <f ca="1">_xlfn.XLOOKUP(Orders[[#This Row],[RegionID]],'Regions'!A:A,'Regions'!B:B)</f>
        <v>North West</v>
      </c>
    </row>
    <row r="171" spans="1:14" x14ac:dyDescent="0.25">
      <c r="A171" s="3">
        <v>1170</v>
      </c>
      <c r="B171" s="1">
        <v>45824</v>
      </c>
      <c r="C171" t="str">
        <f t="shared" ca="1" si="3"/>
        <v>C001</v>
      </c>
      <c r="D171" t="str">
        <f t="shared" ca="1" si="4"/>
        <v>P008</v>
      </c>
      <c r="E171" s="3">
        <f t="shared" ca="1" si="5"/>
        <v>3</v>
      </c>
      <c r="F171" s="4">
        <f ca="1">_xlfn.XLOOKUP(Orders[[#This Row],[ProductID]],Products!A:A,Products!D:D)</f>
        <v>149.99</v>
      </c>
      <c r="G171" t="str">
        <f ca="1">_xlfn.XLOOKUP(Orders[[#This Row],[CustomerID]],'Customers'!A:A,'Customers'!F:F)</f>
        <v>R01</v>
      </c>
      <c r="H171" t="str">
        <f>TEXT(Orders[[#This Row],[OrderDate]],"mmm")</f>
        <v>Jun</v>
      </c>
      <c r="I171" s="2">
        <f>YEAR(Orders[[#This Row],[OrderDate]])</f>
        <v>2025</v>
      </c>
      <c r="J171" s="4">
        <f ca="1">Orders[[#This Row],[Quantity]]*Orders[[#This Row],[UnitPrice]]</f>
        <v>449.97</v>
      </c>
      <c r="K171" s="4" t="str">
        <f ca="1">_xlfn.XLOOKUP(Orders[[#This Row],[CustomerID]],'Customers'!A:A,'Customers'!B:B)</f>
        <v>James Smith</v>
      </c>
      <c r="L171" s="4" t="str">
        <f ca="1">_xlfn.XLOOKUP(Orders[[#This Row],[ProductID]],Products!A:A,Products!B:B)</f>
        <v>Monitor 24 inch</v>
      </c>
      <c r="M171" s="4" t="str">
        <f ca="1">_xlfn.XLOOKUP(Orders[[#This Row],[ProductID]],Products!A:A,Products!C:C)</f>
        <v>Electronics</v>
      </c>
      <c r="N171" s="4" t="str">
        <f ca="1">_xlfn.XLOOKUP(Orders[[#This Row],[RegionID]],'Regions'!A:A,'Regions'!B:B)</f>
        <v>London</v>
      </c>
    </row>
    <row r="172" spans="1:14" x14ac:dyDescent="0.25">
      <c r="A172" s="3">
        <v>1171</v>
      </c>
      <c r="B172" s="1">
        <v>45825</v>
      </c>
      <c r="C172" t="str">
        <f t="shared" ca="1" si="3"/>
        <v>C018</v>
      </c>
      <c r="D172" t="str">
        <f t="shared" ca="1" si="4"/>
        <v>P011</v>
      </c>
      <c r="E172" s="3">
        <f t="shared" ca="1" si="5"/>
        <v>1</v>
      </c>
      <c r="F172" s="4">
        <f ca="1">_xlfn.XLOOKUP(Orders[[#This Row],[ProductID]],Products!A:A,Products!D:D)</f>
        <v>5.99</v>
      </c>
      <c r="G172" t="str">
        <f ca="1">_xlfn.XLOOKUP(Orders[[#This Row],[CustomerID]],'Customers'!A:A,'Customers'!F:F)</f>
        <v>R02</v>
      </c>
      <c r="H172" t="str">
        <f>TEXT(Orders[[#This Row],[OrderDate]],"mmm")</f>
        <v>Jun</v>
      </c>
      <c r="I172" s="2">
        <f>YEAR(Orders[[#This Row],[OrderDate]])</f>
        <v>2025</v>
      </c>
      <c r="J172" s="4">
        <f ca="1">Orders[[#This Row],[Quantity]]*Orders[[#This Row],[UnitPrice]]</f>
        <v>5.99</v>
      </c>
      <c r="K172" s="4" t="str">
        <f ca="1">_xlfn.XLOOKUP(Orders[[#This Row],[CustomerID]],'Customers'!A:A,'Customers'!B:B)</f>
        <v>Chloe Clark</v>
      </c>
      <c r="L172" s="4" t="str">
        <f ca="1">_xlfn.XLOOKUP(Orders[[#This Row],[ProductID]],Products!A:A,Products!B:B)</f>
        <v>Pen Set</v>
      </c>
      <c r="M172" s="4" t="str">
        <f ca="1">_xlfn.XLOOKUP(Orders[[#This Row],[ProductID]],Products!A:A,Products!C:C)</f>
        <v>Stationery</v>
      </c>
      <c r="N172" s="4" t="str">
        <f ca="1">_xlfn.XLOOKUP(Orders[[#This Row],[RegionID]],'Regions'!A:A,'Regions'!B:B)</f>
        <v>North West</v>
      </c>
    </row>
    <row r="173" spans="1:14" x14ac:dyDescent="0.25">
      <c r="A173" s="3">
        <v>1172</v>
      </c>
      <c r="B173" s="1">
        <v>45826</v>
      </c>
      <c r="C173" t="str">
        <f t="shared" ca="1" si="3"/>
        <v>C012</v>
      </c>
      <c r="D173" t="str">
        <f t="shared" ca="1" si="4"/>
        <v>P012</v>
      </c>
      <c r="E173" s="3">
        <f t="shared" ca="1" si="5"/>
        <v>3</v>
      </c>
      <c r="F173" s="4">
        <f ca="1">_xlfn.XLOOKUP(Orders[[#This Row],[ProductID]],Products!A:A,Products!D:D)</f>
        <v>299.99</v>
      </c>
      <c r="G173" t="str">
        <f ca="1">_xlfn.XLOOKUP(Orders[[#This Row],[CustomerID]],'Customers'!A:A,'Customers'!F:F)</f>
        <v>R03</v>
      </c>
      <c r="H173" t="str">
        <f>TEXT(Orders[[#This Row],[OrderDate]],"mmm")</f>
        <v>Jun</v>
      </c>
      <c r="I173" s="2">
        <f>YEAR(Orders[[#This Row],[OrderDate]])</f>
        <v>2025</v>
      </c>
      <c r="J173" s="4">
        <f ca="1">Orders[[#This Row],[Quantity]]*Orders[[#This Row],[UnitPrice]]</f>
        <v>899.97</v>
      </c>
      <c r="K173" s="4" t="str">
        <f ca="1">_xlfn.XLOOKUP(Orders[[#This Row],[CustomerID]],'Customers'!A:A,'Customers'!B:B)</f>
        <v>Mia Harris</v>
      </c>
      <c r="L173" s="4" t="str">
        <f ca="1">_xlfn.XLOOKUP(Orders[[#This Row],[ProductID]],Products!A:A,Products!B:B)</f>
        <v>Tablet</v>
      </c>
      <c r="M173" s="4" t="str">
        <f ca="1">_xlfn.XLOOKUP(Orders[[#This Row],[ProductID]],Products!A:A,Products!C:C)</f>
        <v>Electronics</v>
      </c>
      <c r="N173" s="4" t="str">
        <f ca="1">_xlfn.XLOOKUP(Orders[[#This Row],[RegionID]],'Regions'!A:A,'Regions'!B:B)</f>
        <v>Midlands</v>
      </c>
    </row>
    <row r="174" spans="1:14" x14ac:dyDescent="0.25">
      <c r="A174" s="3">
        <v>1173</v>
      </c>
      <c r="B174" s="1">
        <v>45827</v>
      </c>
      <c r="C174" t="str">
        <f t="shared" ca="1" si="3"/>
        <v>C004</v>
      </c>
      <c r="D174" t="str">
        <f t="shared" ca="1" si="4"/>
        <v>P013</v>
      </c>
      <c r="E174" s="3">
        <f t="shared" ca="1" si="5"/>
        <v>2</v>
      </c>
      <c r="F174" s="4">
        <f ca="1">_xlfn.XLOOKUP(Orders[[#This Row],[ProductID]],Products!A:A,Products!D:D)</f>
        <v>129.99</v>
      </c>
      <c r="G174" t="str">
        <f ca="1">_xlfn.XLOOKUP(Orders[[#This Row],[CustomerID]],'Customers'!A:A,'Customers'!F:F)</f>
        <v>R04</v>
      </c>
      <c r="H174" t="str">
        <f>TEXT(Orders[[#This Row],[OrderDate]],"mmm")</f>
        <v>Jun</v>
      </c>
      <c r="I174" s="2">
        <f>YEAR(Orders[[#This Row],[OrderDate]])</f>
        <v>2025</v>
      </c>
      <c r="J174" s="4">
        <f ca="1">Orders[[#This Row],[Quantity]]*Orders[[#This Row],[UnitPrice]]</f>
        <v>259.98</v>
      </c>
      <c r="K174" s="4" t="str">
        <f ca="1">_xlfn.XLOOKUP(Orders[[#This Row],[CustomerID]],'Customers'!A:A,'Customers'!B:B)</f>
        <v>Sophia Williams</v>
      </c>
      <c r="L174" s="4" t="str">
        <f ca="1">_xlfn.XLOOKUP(Orders[[#This Row],[ProductID]],Products!A:A,Products!B:B)</f>
        <v>Printer</v>
      </c>
      <c r="M174" s="4" t="str">
        <f ca="1">_xlfn.XLOOKUP(Orders[[#This Row],[ProductID]],Products!A:A,Products!C:C)</f>
        <v>Electronics</v>
      </c>
      <c r="N174" s="4" t="str">
        <f ca="1">_xlfn.XLOOKUP(Orders[[#This Row],[RegionID]],'Regions'!A:A,'Regions'!B:B)</f>
        <v>Yorkshire</v>
      </c>
    </row>
    <row r="175" spans="1:14" x14ac:dyDescent="0.25">
      <c r="A175" s="3">
        <v>1174</v>
      </c>
      <c r="B175" s="1">
        <v>45828</v>
      </c>
      <c r="C175" t="str">
        <f t="shared" ca="1" si="3"/>
        <v>C027</v>
      </c>
      <c r="D175" t="str">
        <f t="shared" ca="1" si="4"/>
        <v>P004</v>
      </c>
      <c r="E175" s="3">
        <f t="shared" ca="1" si="5"/>
        <v>6</v>
      </c>
      <c r="F175" s="4">
        <f ca="1">_xlfn.XLOOKUP(Orders[[#This Row],[ProductID]],Products!A:A,Products!D:D)</f>
        <v>89.99</v>
      </c>
      <c r="G175" t="str">
        <f ca="1">_xlfn.XLOOKUP(Orders[[#This Row],[CustomerID]],'Customers'!A:A,'Customers'!F:F)</f>
        <v>R04</v>
      </c>
      <c r="H175" t="str">
        <f>TEXT(Orders[[#This Row],[OrderDate]],"mmm")</f>
        <v>Jun</v>
      </c>
      <c r="I175" s="2">
        <f>YEAR(Orders[[#This Row],[OrderDate]])</f>
        <v>2025</v>
      </c>
      <c r="J175" s="4">
        <f ca="1">Orders[[#This Row],[Quantity]]*Orders[[#This Row],[UnitPrice]]</f>
        <v>539.93999999999994</v>
      </c>
      <c r="K175" s="4" t="str">
        <f ca="1">_xlfn.XLOOKUP(Orders[[#This Row],[CustomerID]],'Customers'!A:A,'Customers'!B:B)</f>
        <v>Henry Wright</v>
      </c>
      <c r="L175" s="4" t="str">
        <f ca="1">_xlfn.XLOOKUP(Orders[[#This Row],[ProductID]],Products!A:A,Products!B:B)</f>
        <v>Office Chair</v>
      </c>
      <c r="M175" s="4" t="str">
        <f ca="1">_xlfn.XLOOKUP(Orders[[#This Row],[ProductID]],Products!A:A,Products!C:C)</f>
        <v>Furniture</v>
      </c>
      <c r="N175" s="4" t="str">
        <f ca="1">_xlfn.XLOOKUP(Orders[[#This Row],[RegionID]],'Regions'!A:A,'Regions'!B:B)</f>
        <v>Yorkshire</v>
      </c>
    </row>
    <row r="176" spans="1:14" x14ac:dyDescent="0.25">
      <c r="A176" s="3">
        <v>1175</v>
      </c>
      <c r="B176" s="1">
        <v>45831</v>
      </c>
      <c r="C176" t="str">
        <f t="shared" ca="1" si="3"/>
        <v>C026</v>
      </c>
      <c r="D176" t="str">
        <f t="shared" ca="1" si="4"/>
        <v>P007</v>
      </c>
      <c r="E176" s="3">
        <f t="shared" ca="1" si="5"/>
        <v>9</v>
      </c>
      <c r="F176" s="4">
        <f ca="1">_xlfn.XLOOKUP(Orders[[#This Row],[ProductID]],Products!A:A,Products!D:D)</f>
        <v>45.99</v>
      </c>
      <c r="G176" t="str">
        <f ca="1">_xlfn.XLOOKUP(Orders[[#This Row],[CustomerID]],'Customers'!A:A,'Customers'!F:F)</f>
        <v>R05</v>
      </c>
      <c r="H176" t="str">
        <f>TEXT(Orders[[#This Row],[OrderDate]],"mmm")</f>
        <v>Jun</v>
      </c>
      <c r="I176" s="2">
        <f>YEAR(Orders[[#This Row],[OrderDate]])</f>
        <v>2025</v>
      </c>
      <c r="J176" s="4">
        <f ca="1">Orders[[#This Row],[Quantity]]*Orders[[#This Row],[UnitPrice]]</f>
        <v>413.91</v>
      </c>
      <c r="K176" s="4" t="str">
        <f ca="1">_xlfn.XLOOKUP(Orders[[#This Row],[CustomerID]],'Customers'!A:A,'Customers'!B:B)</f>
        <v>Poppy King</v>
      </c>
      <c r="L176" s="4" t="str">
        <f ca="1">_xlfn.XLOOKUP(Orders[[#This Row],[ProductID]],Products!A:A,Products!B:B)</f>
        <v>Bluetooth Keyboard</v>
      </c>
      <c r="M176" s="4" t="str">
        <f ca="1">_xlfn.XLOOKUP(Orders[[#This Row],[ProductID]],Products!A:A,Products!C:C)</f>
        <v>Electronics</v>
      </c>
      <c r="N176" s="4" t="str">
        <f ca="1">_xlfn.XLOOKUP(Orders[[#This Row],[RegionID]],'Regions'!A:A,'Regions'!B:B)</f>
        <v>Scotland</v>
      </c>
    </row>
    <row r="177" spans="1:14" x14ac:dyDescent="0.25">
      <c r="A177" s="3">
        <v>1176</v>
      </c>
      <c r="B177" s="1">
        <v>45832</v>
      </c>
      <c r="C177" t="str">
        <f t="shared" ca="1" si="3"/>
        <v>C022</v>
      </c>
      <c r="D177" t="str">
        <f t="shared" ca="1" si="4"/>
        <v>P015</v>
      </c>
      <c r="E177" s="3">
        <f t="shared" ca="1" si="5"/>
        <v>4</v>
      </c>
      <c r="F177" s="4">
        <f ca="1">_xlfn.XLOOKUP(Orders[[#This Row],[ProductID]],Products!A:A,Products!D:D)</f>
        <v>79.989999999999995</v>
      </c>
      <c r="G177" t="str">
        <f ca="1">_xlfn.XLOOKUP(Orders[[#This Row],[CustomerID]],'Customers'!A:A,'Customers'!F:F)</f>
        <v>R03</v>
      </c>
      <c r="H177" t="str">
        <f>TEXT(Orders[[#This Row],[OrderDate]],"mmm")</f>
        <v>Jun</v>
      </c>
      <c r="I177" s="2">
        <f>YEAR(Orders[[#This Row],[OrderDate]])</f>
        <v>2025</v>
      </c>
      <c r="J177" s="4">
        <f ca="1">Orders[[#This Row],[Quantity]]*Orders[[#This Row],[UnitPrice]]</f>
        <v>319.95999999999998</v>
      </c>
      <c r="K177" s="4" t="str">
        <f ca="1">_xlfn.XLOOKUP(Orders[[#This Row],[CustomerID]],'Customers'!A:A,'Customers'!B:B)</f>
        <v>Evie Walker</v>
      </c>
      <c r="L177" s="4" t="str">
        <f ca="1">_xlfn.XLOOKUP(Orders[[#This Row],[ProductID]],Products!A:A,Products!B:B)</f>
        <v>Headphones</v>
      </c>
      <c r="M177" s="4" t="str">
        <f ca="1">_xlfn.XLOOKUP(Orders[[#This Row],[ProductID]],Products!A:A,Products!C:C)</f>
        <v>Electronics</v>
      </c>
      <c r="N177" s="4" t="str">
        <f ca="1">_xlfn.XLOOKUP(Orders[[#This Row],[RegionID]],'Regions'!A:A,'Regions'!B:B)</f>
        <v>Midlands</v>
      </c>
    </row>
    <row r="178" spans="1:14" x14ac:dyDescent="0.25">
      <c r="A178" s="3">
        <v>1177</v>
      </c>
      <c r="B178" s="1">
        <v>45833</v>
      </c>
      <c r="C178" t="str">
        <f t="shared" ca="1" si="3"/>
        <v>C008</v>
      </c>
      <c r="D178" t="str">
        <f t="shared" ca="1" si="4"/>
        <v>P020</v>
      </c>
      <c r="E178" s="3">
        <f t="shared" ca="1" si="5"/>
        <v>1</v>
      </c>
      <c r="F178" s="4">
        <f ca="1">_xlfn.XLOOKUP(Orders[[#This Row],[ProductID]],Products!A:A,Products!D:D)</f>
        <v>14.99</v>
      </c>
      <c r="G178" t="str">
        <f ca="1">_xlfn.XLOOKUP(Orders[[#This Row],[CustomerID]],'Customers'!A:A,'Customers'!F:F)</f>
        <v>R01</v>
      </c>
      <c r="H178" t="str">
        <f>TEXT(Orders[[#This Row],[OrderDate]],"mmm")</f>
        <v>Jun</v>
      </c>
      <c r="I178" s="2">
        <f>YEAR(Orders[[#This Row],[OrderDate]])</f>
        <v>2025</v>
      </c>
      <c r="J178" s="4">
        <f ca="1">Orders[[#This Row],[Quantity]]*Orders[[#This Row],[UnitPrice]]</f>
        <v>14.99</v>
      </c>
      <c r="K178" s="4" t="str">
        <f ca="1">_xlfn.XLOOKUP(Orders[[#This Row],[CustomerID]],'Customers'!A:A,'Customers'!B:B)</f>
        <v>Isla Wilson</v>
      </c>
      <c r="L178" s="4" t="str">
        <f ca="1">_xlfn.XLOOKUP(Orders[[#This Row],[ProductID]],Products!A:A,Products!B:B)</f>
        <v>Extension Cable</v>
      </c>
      <c r="M178" s="4" t="str">
        <f ca="1">_xlfn.XLOOKUP(Orders[[#This Row],[ProductID]],Products!A:A,Products!C:C)</f>
        <v>Electronics</v>
      </c>
      <c r="N178" s="4" t="str">
        <f ca="1">_xlfn.XLOOKUP(Orders[[#This Row],[RegionID]],'Regions'!A:A,'Regions'!B:B)</f>
        <v>London</v>
      </c>
    </row>
    <row r="179" spans="1:14" x14ac:dyDescent="0.25">
      <c r="A179" s="3">
        <v>1178</v>
      </c>
      <c r="B179" s="1">
        <v>45834</v>
      </c>
      <c r="C179" t="str">
        <f t="shared" ca="1" si="3"/>
        <v>C008</v>
      </c>
      <c r="D179" t="str">
        <f t="shared" ca="1" si="4"/>
        <v>P012</v>
      </c>
      <c r="E179" s="3">
        <f t="shared" ca="1" si="5"/>
        <v>6</v>
      </c>
      <c r="F179" s="4">
        <f ca="1">_xlfn.XLOOKUP(Orders[[#This Row],[ProductID]],Products!A:A,Products!D:D)</f>
        <v>299.99</v>
      </c>
      <c r="G179" t="str">
        <f ca="1">_xlfn.XLOOKUP(Orders[[#This Row],[CustomerID]],'Customers'!A:A,'Customers'!F:F)</f>
        <v>R01</v>
      </c>
      <c r="H179" t="str">
        <f>TEXT(Orders[[#This Row],[OrderDate]],"mmm")</f>
        <v>Jun</v>
      </c>
      <c r="I179" s="2">
        <f>YEAR(Orders[[#This Row],[OrderDate]])</f>
        <v>2025</v>
      </c>
      <c r="J179" s="4">
        <f ca="1">Orders[[#This Row],[Quantity]]*Orders[[#This Row],[UnitPrice]]</f>
        <v>1799.94</v>
      </c>
      <c r="K179" s="4" t="str">
        <f ca="1">_xlfn.XLOOKUP(Orders[[#This Row],[CustomerID]],'Customers'!A:A,'Customers'!B:B)</f>
        <v>Isla Wilson</v>
      </c>
      <c r="L179" s="4" t="str">
        <f ca="1">_xlfn.XLOOKUP(Orders[[#This Row],[ProductID]],Products!A:A,Products!B:B)</f>
        <v>Tablet</v>
      </c>
      <c r="M179" s="4" t="str">
        <f ca="1">_xlfn.XLOOKUP(Orders[[#This Row],[ProductID]],Products!A:A,Products!C:C)</f>
        <v>Electronics</v>
      </c>
      <c r="N179" s="4" t="str">
        <f ca="1">_xlfn.XLOOKUP(Orders[[#This Row],[RegionID]],'Regions'!A:A,'Regions'!B:B)</f>
        <v>London</v>
      </c>
    </row>
    <row r="180" spans="1:14" x14ac:dyDescent="0.25">
      <c r="A180" s="3">
        <v>1179</v>
      </c>
      <c r="B180" s="1">
        <v>45835</v>
      </c>
      <c r="C180" t="str">
        <f t="shared" ca="1" si="3"/>
        <v>C011</v>
      </c>
      <c r="D180" t="str">
        <f t="shared" ca="1" si="4"/>
        <v>P003</v>
      </c>
      <c r="E180" s="3">
        <f t="shared" ca="1" si="5"/>
        <v>10</v>
      </c>
      <c r="F180" s="4">
        <f ca="1">_xlfn.XLOOKUP(Orders[[#This Row],[ProductID]],Products!A:A,Products!D:D)</f>
        <v>199.99</v>
      </c>
      <c r="G180" t="str">
        <f ca="1">_xlfn.XLOOKUP(Orders[[#This Row],[CustomerID]],'Customers'!A:A,'Customers'!F:F)</f>
        <v>R03</v>
      </c>
      <c r="H180" t="str">
        <f>TEXT(Orders[[#This Row],[OrderDate]],"mmm")</f>
        <v>Jun</v>
      </c>
      <c r="I180" s="2">
        <f>YEAR(Orders[[#This Row],[OrderDate]])</f>
        <v>2025</v>
      </c>
      <c r="J180" s="4">
        <f ca="1">Orders[[#This Row],[Quantity]]*Orders[[#This Row],[UnitPrice]]</f>
        <v>1999.9</v>
      </c>
      <c r="K180" s="4" t="str">
        <f ca="1">_xlfn.XLOOKUP(Orders[[#This Row],[CustomerID]],'Customers'!A:A,'Customers'!B:B)</f>
        <v>George White</v>
      </c>
      <c r="L180" s="4" t="str">
        <f ca="1">_xlfn.XLOOKUP(Orders[[#This Row],[ProductID]],Products!A:A,Products!B:B)</f>
        <v>Smartphone</v>
      </c>
      <c r="M180" s="4" t="str">
        <f ca="1">_xlfn.XLOOKUP(Orders[[#This Row],[ProductID]],Products!A:A,Products!C:C)</f>
        <v>Electronics</v>
      </c>
      <c r="N180" s="4" t="str">
        <f ca="1">_xlfn.XLOOKUP(Orders[[#This Row],[RegionID]],'Regions'!A:A,'Regions'!B:B)</f>
        <v>Midlands</v>
      </c>
    </row>
    <row r="181" spans="1:14" x14ac:dyDescent="0.25">
      <c r="A181" s="3">
        <v>1180</v>
      </c>
      <c r="B181" s="1">
        <v>45838</v>
      </c>
      <c r="C181" t="str">
        <f t="shared" ca="1" si="3"/>
        <v>C022</v>
      </c>
      <c r="D181" t="str">
        <f t="shared" ca="1" si="4"/>
        <v>P002</v>
      </c>
      <c r="E181" s="3">
        <f t="shared" ca="1" si="5"/>
        <v>1</v>
      </c>
      <c r="F181" s="4">
        <f ca="1">_xlfn.XLOOKUP(Orders[[#This Row],[ProductID]],Products!A:A,Products!D:D)</f>
        <v>15.5</v>
      </c>
      <c r="G181" t="str">
        <f ca="1">_xlfn.XLOOKUP(Orders[[#This Row],[CustomerID]],'Customers'!A:A,'Customers'!F:F)</f>
        <v>R03</v>
      </c>
      <c r="H181" t="str">
        <f>TEXT(Orders[[#This Row],[OrderDate]],"mmm")</f>
        <v>Jun</v>
      </c>
      <c r="I181" s="2">
        <f>YEAR(Orders[[#This Row],[OrderDate]])</f>
        <v>2025</v>
      </c>
      <c r="J181" s="4">
        <f ca="1">Orders[[#This Row],[Quantity]]*Orders[[#This Row],[UnitPrice]]</f>
        <v>15.5</v>
      </c>
      <c r="K181" s="4" t="str">
        <f ca="1">_xlfn.XLOOKUP(Orders[[#This Row],[CustomerID]],'Customers'!A:A,'Customers'!B:B)</f>
        <v>Evie Walker</v>
      </c>
      <c r="L181" s="4" t="str">
        <f ca="1">_xlfn.XLOOKUP(Orders[[#This Row],[ProductID]],Products!A:A,Products!B:B)</f>
        <v>Notebook</v>
      </c>
      <c r="M181" s="4" t="str">
        <f ca="1">_xlfn.XLOOKUP(Orders[[#This Row],[ProductID]],Products!A:A,Products!C:C)</f>
        <v>Stationery</v>
      </c>
      <c r="N181" s="4" t="str">
        <f ca="1">_xlfn.XLOOKUP(Orders[[#This Row],[RegionID]],'Regions'!A:A,'Regions'!B:B)</f>
        <v>Midlands</v>
      </c>
    </row>
    <row r="182" spans="1:14" x14ac:dyDescent="0.25">
      <c r="A182" s="3">
        <v>1181</v>
      </c>
      <c r="B182" s="1">
        <v>45839</v>
      </c>
      <c r="C182" t="str">
        <f t="shared" ca="1" si="3"/>
        <v>C029</v>
      </c>
      <c r="D182" t="str">
        <f t="shared" ca="1" si="4"/>
        <v>P018</v>
      </c>
      <c r="E182" s="3">
        <f t="shared" ca="1" si="5"/>
        <v>1</v>
      </c>
      <c r="F182" s="4">
        <f ca="1">_xlfn.XLOOKUP(Orders[[#This Row],[ProductID]],Products!A:A,Products!D:D)</f>
        <v>29.99</v>
      </c>
      <c r="G182" t="str">
        <f ca="1">_xlfn.XLOOKUP(Orders[[#This Row],[CustomerID]],'Customers'!A:A,'Customers'!F:F)</f>
        <v>R04</v>
      </c>
      <c r="H182" t="str">
        <f>TEXT(Orders[[#This Row],[OrderDate]],"mmm")</f>
        <v>Jul</v>
      </c>
      <c r="I182" s="2">
        <f>YEAR(Orders[[#This Row],[OrderDate]])</f>
        <v>2025</v>
      </c>
      <c r="J182" s="4">
        <f ca="1">Orders[[#This Row],[Quantity]]*Orders[[#This Row],[UnitPrice]]</f>
        <v>29.99</v>
      </c>
      <c r="K182" s="4" t="str">
        <f ca="1">_xlfn.XLOOKUP(Orders[[#This Row],[CustomerID]],'Customers'!A:A,'Customers'!B:B)</f>
        <v>Jacob Green</v>
      </c>
      <c r="L182" s="4" t="str">
        <f ca="1">_xlfn.XLOOKUP(Orders[[#This Row],[ProductID]],Products!A:A,Products!B:B)</f>
        <v>Laptop Stand</v>
      </c>
      <c r="M182" s="4" t="str">
        <f ca="1">_xlfn.XLOOKUP(Orders[[#This Row],[ProductID]],Products!A:A,Products!C:C)</f>
        <v>Accessories</v>
      </c>
      <c r="N182" s="4" t="str">
        <f ca="1">_xlfn.XLOOKUP(Orders[[#This Row],[RegionID]],'Regions'!A:A,'Regions'!B:B)</f>
        <v>Yorkshire</v>
      </c>
    </row>
    <row r="183" spans="1:14" x14ac:dyDescent="0.25">
      <c r="A183" s="3">
        <v>1182</v>
      </c>
      <c r="B183" s="1">
        <v>45840</v>
      </c>
      <c r="C183" t="str">
        <f t="shared" ca="1" si="3"/>
        <v>C005</v>
      </c>
      <c r="D183" t="str">
        <f t="shared" ca="1" si="4"/>
        <v>P002</v>
      </c>
      <c r="E183" s="3">
        <f t="shared" ca="1" si="5"/>
        <v>4</v>
      </c>
      <c r="F183" s="4">
        <f ca="1">_xlfn.XLOOKUP(Orders[[#This Row],[ProductID]],Products!A:A,Products!D:D)</f>
        <v>15.5</v>
      </c>
      <c r="G183" t="str">
        <f ca="1">_xlfn.XLOOKUP(Orders[[#This Row],[CustomerID]],'Customers'!A:A,'Customers'!F:F)</f>
        <v>R02</v>
      </c>
      <c r="H183" t="str">
        <f>TEXT(Orders[[#This Row],[OrderDate]],"mmm")</f>
        <v>Jul</v>
      </c>
      <c r="I183" s="2">
        <f>YEAR(Orders[[#This Row],[OrderDate]])</f>
        <v>2025</v>
      </c>
      <c r="J183" s="4">
        <f ca="1">Orders[[#This Row],[Quantity]]*Orders[[#This Row],[UnitPrice]]</f>
        <v>62</v>
      </c>
      <c r="K183" s="4" t="str">
        <f ca="1">_xlfn.XLOOKUP(Orders[[#This Row],[CustomerID]],'Customers'!A:A,'Customers'!B:B)</f>
        <v>Harry Jones</v>
      </c>
      <c r="L183" s="4" t="str">
        <f ca="1">_xlfn.XLOOKUP(Orders[[#This Row],[ProductID]],Products!A:A,Products!B:B)</f>
        <v>Notebook</v>
      </c>
      <c r="M183" s="4" t="str">
        <f ca="1">_xlfn.XLOOKUP(Orders[[#This Row],[ProductID]],Products!A:A,Products!C:C)</f>
        <v>Stationery</v>
      </c>
      <c r="N183" s="4" t="str">
        <f ca="1">_xlfn.XLOOKUP(Orders[[#This Row],[RegionID]],'Regions'!A:A,'Regions'!B:B)</f>
        <v>North West</v>
      </c>
    </row>
    <row r="184" spans="1:14" x14ac:dyDescent="0.25">
      <c r="A184" s="3">
        <v>1183</v>
      </c>
      <c r="B184" s="1">
        <v>45841</v>
      </c>
      <c r="C184" t="str">
        <f t="shared" ca="1" si="3"/>
        <v>C005</v>
      </c>
      <c r="D184" t="str">
        <f t="shared" ca="1" si="4"/>
        <v>P018</v>
      </c>
      <c r="E184" s="3">
        <f t="shared" ca="1" si="5"/>
        <v>5</v>
      </c>
      <c r="F184" s="4">
        <f ca="1">_xlfn.XLOOKUP(Orders[[#This Row],[ProductID]],Products!A:A,Products!D:D)</f>
        <v>29.99</v>
      </c>
      <c r="G184" t="str">
        <f ca="1">_xlfn.XLOOKUP(Orders[[#This Row],[CustomerID]],'Customers'!A:A,'Customers'!F:F)</f>
        <v>R02</v>
      </c>
      <c r="H184" t="str">
        <f>TEXT(Orders[[#This Row],[OrderDate]],"mmm")</f>
        <v>Jul</v>
      </c>
      <c r="I184" s="2">
        <f>YEAR(Orders[[#This Row],[OrderDate]])</f>
        <v>2025</v>
      </c>
      <c r="J184" s="4">
        <f ca="1">Orders[[#This Row],[Quantity]]*Orders[[#This Row],[UnitPrice]]</f>
        <v>149.94999999999999</v>
      </c>
      <c r="K184" s="4" t="str">
        <f ca="1">_xlfn.XLOOKUP(Orders[[#This Row],[CustomerID]],'Customers'!A:A,'Customers'!B:B)</f>
        <v>Harry Jones</v>
      </c>
      <c r="L184" s="4" t="str">
        <f ca="1">_xlfn.XLOOKUP(Orders[[#This Row],[ProductID]],Products!A:A,Products!B:B)</f>
        <v>Laptop Stand</v>
      </c>
      <c r="M184" s="4" t="str">
        <f ca="1">_xlfn.XLOOKUP(Orders[[#This Row],[ProductID]],Products!A:A,Products!C:C)</f>
        <v>Accessories</v>
      </c>
      <c r="N184" s="4" t="str">
        <f ca="1">_xlfn.XLOOKUP(Orders[[#This Row],[RegionID]],'Regions'!A:A,'Regions'!B:B)</f>
        <v>North West</v>
      </c>
    </row>
    <row r="185" spans="1:14" x14ac:dyDescent="0.25">
      <c r="A185" s="3">
        <v>1184</v>
      </c>
      <c r="B185" s="1">
        <v>45842</v>
      </c>
      <c r="C185" t="str">
        <f t="shared" ca="1" si="3"/>
        <v>C030</v>
      </c>
      <c r="D185" t="str">
        <f t="shared" ca="1" si="4"/>
        <v>P013</v>
      </c>
      <c r="E185" s="3">
        <f t="shared" ca="1" si="5"/>
        <v>4</v>
      </c>
      <c r="F185" s="4">
        <f ca="1">_xlfn.XLOOKUP(Orders[[#This Row],[ProductID]],Products!A:A,Products!D:D)</f>
        <v>129.99</v>
      </c>
      <c r="G185" t="str">
        <f ca="1">_xlfn.XLOOKUP(Orders[[#This Row],[CustomerID]],'Customers'!A:A,'Customers'!F:F)</f>
        <v>R01</v>
      </c>
      <c r="H185" t="str">
        <f>TEXT(Orders[[#This Row],[OrderDate]],"mmm")</f>
        <v>Jul</v>
      </c>
      <c r="I185" s="2">
        <f>YEAR(Orders[[#This Row],[OrderDate]])</f>
        <v>2025</v>
      </c>
      <c r="J185" s="4">
        <f ca="1">Orders[[#This Row],[Quantity]]*Orders[[#This Row],[UnitPrice]]</f>
        <v>519.96</v>
      </c>
      <c r="K185" s="4" t="str">
        <f ca="1">_xlfn.XLOOKUP(Orders[[#This Row],[CustomerID]],'Customers'!A:A,'Customers'!B:B)</f>
        <v>Sophie Adams</v>
      </c>
      <c r="L185" s="4" t="str">
        <f ca="1">_xlfn.XLOOKUP(Orders[[#This Row],[ProductID]],Products!A:A,Products!B:B)</f>
        <v>Printer</v>
      </c>
      <c r="M185" s="4" t="str">
        <f ca="1">_xlfn.XLOOKUP(Orders[[#This Row],[ProductID]],Products!A:A,Products!C:C)</f>
        <v>Electronics</v>
      </c>
      <c r="N185" s="4" t="str">
        <f ca="1">_xlfn.XLOOKUP(Orders[[#This Row],[RegionID]],'Regions'!A:A,'Regions'!B:B)</f>
        <v>London</v>
      </c>
    </row>
    <row r="186" spans="1:14" x14ac:dyDescent="0.25">
      <c r="A186" s="3">
        <v>1185</v>
      </c>
      <c r="B186" s="1">
        <v>45845</v>
      </c>
      <c r="C186" t="str">
        <f t="shared" ca="1" si="3"/>
        <v>C003</v>
      </c>
      <c r="D186" t="str">
        <f t="shared" ca="1" si="4"/>
        <v>P003</v>
      </c>
      <c r="E186" s="3">
        <f t="shared" ca="1" si="5"/>
        <v>1</v>
      </c>
      <c r="F186" s="4">
        <f ca="1">_xlfn.XLOOKUP(Orders[[#This Row],[ProductID]],Products!A:A,Products!D:D)</f>
        <v>199.99</v>
      </c>
      <c r="G186" t="str">
        <f ca="1">_xlfn.XLOOKUP(Orders[[#This Row],[CustomerID]],'Customers'!A:A,'Customers'!F:F)</f>
        <v>R03</v>
      </c>
      <c r="H186" t="str">
        <f>TEXT(Orders[[#This Row],[OrderDate]],"mmm")</f>
        <v>Jul</v>
      </c>
      <c r="I186" s="2">
        <f>YEAR(Orders[[#This Row],[OrderDate]])</f>
        <v>2025</v>
      </c>
      <c r="J186" s="4">
        <f ca="1">Orders[[#This Row],[Quantity]]*Orders[[#This Row],[UnitPrice]]</f>
        <v>199.99</v>
      </c>
      <c r="K186" s="4" t="str">
        <f ca="1">_xlfn.XLOOKUP(Orders[[#This Row],[CustomerID]],'Customers'!A:A,'Customers'!B:B)</f>
        <v>Oliver Brown</v>
      </c>
      <c r="L186" s="4" t="str">
        <f ca="1">_xlfn.XLOOKUP(Orders[[#This Row],[ProductID]],Products!A:A,Products!B:B)</f>
        <v>Smartphone</v>
      </c>
      <c r="M186" s="4" t="str">
        <f ca="1">_xlfn.XLOOKUP(Orders[[#This Row],[ProductID]],Products!A:A,Products!C:C)</f>
        <v>Electronics</v>
      </c>
      <c r="N186" s="4" t="str">
        <f ca="1">_xlfn.XLOOKUP(Orders[[#This Row],[RegionID]],'Regions'!A:A,'Regions'!B:B)</f>
        <v>Midlands</v>
      </c>
    </row>
    <row r="187" spans="1:14" x14ac:dyDescent="0.25">
      <c r="A187" s="3">
        <v>1186</v>
      </c>
      <c r="B187" s="1">
        <v>45846</v>
      </c>
      <c r="C187" t="str">
        <f t="shared" ca="1" si="3"/>
        <v>C003</v>
      </c>
      <c r="D187" t="str">
        <f t="shared" ca="1" si="4"/>
        <v>P001</v>
      </c>
      <c r="E187" s="3">
        <f t="shared" ca="1" si="5"/>
        <v>9</v>
      </c>
      <c r="F187" s="4">
        <f ca="1">_xlfn.XLOOKUP(Orders[[#This Row],[ProductID]],Products!A:A,Products!D:D)</f>
        <v>25.99</v>
      </c>
      <c r="G187" t="str">
        <f ca="1">_xlfn.XLOOKUP(Orders[[#This Row],[CustomerID]],'Customers'!A:A,'Customers'!F:F)</f>
        <v>R03</v>
      </c>
      <c r="H187" t="str">
        <f>TEXT(Orders[[#This Row],[OrderDate]],"mmm")</f>
        <v>Jul</v>
      </c>
      <c r="I187" s="2">
        <f>YEAR(Orders[[#This Row],[OrderDate]])</f>
        <v>2025</v>
      </c>
      <c r="J187" s="4">
        <f ca="1">Orders[[#This Row],[Quantity]]*Orders[[#This Row],[UnitPrice]]</f>
        <v>233.91</v>
      </c>
      <c r="K187" s="4" t="str">
        <f ca="1">_xlfn.XLOOKUP(Orders[[#This Row],[CustomerID]],'Customers'!A:A,'Customers'!B:B)</f>
        <v>Oliver Brown</v>
      </c>
      <c r="L187" s="4" t="str">
        <f ca="1">_xlfn.XLOOKUP(Orders[[#This Row],[ProductID]],Products!A:A,Products!B:B)</f>
        <v>Wireless Mouse</v>
      </c>
      <c r="M187" s="4" t="str">
        <f ca="1">_xlfn.XLOOKUP(Orders[[#This Row],[ProductID]],Products!A:A,Products!C:C)</f>
        <v>Electronics</v>
      </c>
      <c r="N187" s="4" t="str">
        <f ca="1">_xlfn.XLOOKUP(Orders[[#This Row],[RegionID]],'Regions'!A:A,'Regions'!B:B)</f>
        <v>Midlands</v>
      </c>
    </row>
    <row r="188" spans="1:14" x14ac:dyDescent="0.25">
      <c r="A188" s="3">
        <v>1187</v>
      </c>
      <c r="B188" s="1">
        <v>45847</v>
      </c>
      <c r="C188" t="str">
        <f t="shared" ca="1" si="3"/>
        <v>C030</v>
      </c>
      <c r="D188" t="str">
        <f t="shared" ca="1" si="4"/>
        <v>P004</v>
      </c>
      <c r="E188" s="3">
        <f t="shared" ca="1" si="5"/>
        <v>2</v>
      </c>
      <c r="F188" s="4">
        <f ca="1">_xlfn.XLOOKUP(Orders[[#This Row],[ProductID]],Products!A:A,Products!D:D)</f>
        <v>89.99</v>
      </c>
      <c r="G188" t="str">
        <f ca="1">_xlfn.XLOOKUP(Orders[[#This Row],[CustomerID]],'Customers'!A:A,'Customers'!F:F)</f>
        <v>R01</v>
      </c>
      <c r="H188" t="str">
        <f>TEXT(Orders[[#This Row],[OrderDate]],"mmm")</f>
        <v>Jul</v>
      </c>
      <c r="I188" s="2">
        <f>YEAR(Orders[[#This Row],[OrderDate]])</f>
        <v>2025</v>
      </c>
      <c r="J188" s="4">
        <f ca="1">Orders[[#This Row],[Quantity]]*Orders[[#This Row],[UnitPrice]]</f>
        <v>179.98</v>
      </c>
      <c r="K188" s="4" t="str">
        <f ca="1">_xlfn.XLOOKUP(Orders[[#This Row],[CustomerID]],'Customers'!A:A,'Customers'!B:B)</f>
        <v>Sophie Adams</v>
      </c>
      <c r="L188" s="4" t="str">
        <f ca="1">_xlfn.XLOOKUP(Orders[[#This Row],[ProductID]],Products!A:A,Products!B:B)</f>
        <v>Office Chair</v>
      </c>
      <c r="M188" s="4" t="str">
        <f ca="1">_xlfn.XLOOKUP(Orders[[#This Row],[ProductID]],Products!A:A,Products!C:C)</f>
        <v>Furniture</v>
      </c>
      <c r="N188" s="4" t="str">
        <f ca="1">_xlfn.XLOOKUP(Orders[[#This Row],[RegionID]],'Regions'!A:A,'Regions'!B:B)</f>
        <v>London</v>
      </c>
    </row>
    <row r="189" spans="1:14" x14ac:dyDescent="0.25">
      <c r="A189" s="3">
        <v>1188</v>
      </c>
      <c r="B189" s="1">
        <v>45848</v>
      </c>
      <c r="C189" t="str">
        <f t="shared" ca="1" si="3"/>
        <v>C027</v>
      </c>
      <c r="D189" t="str">
        <f t="shared" ca="1" si="4"/>
        <v>P014</v>
      </c>
      <c r="E189" s="3">
        <f t="shared" ca="1" si="5"/>
        <v>7</v>
      </c>
      <c r="F189" s="4">
        <f ca="1">_xlfn.XLOOKUP(Orders[[#This Row],[ProductID]],Products!A:A,Products!D:D)</f>
        <v>19.989999999999998</v>
      </c>
      <c r="G189" t="str">
        <f ca="1">_xlfn.XLOOKUP(Orders[[#This Row],[CustomerID]],'Customers'!A:A,'Customers'!F:F)</f>
        <v>R04</v>
      </c>
      <c r="H189" t="str">
        <f>TEXT(Orders[[#This Row],[OrderDate]],"mmm")</f>
        <v>Jul</v>
      </c>
      <c r="I189" s="2">
        <f>YEAR(Orders[[#This Row],[OrderDate]])</f>
        <v>2025</v>
      </c>
      <c r="J189" s="4">
        <f ca="1">Orders[[#This Row],[Quantity]]*Orders[[#This Row],[UnitPrice]]</f>
        <v>139.92999999999998</v>
      </c>
      <c r="K189" s="4" t="str">
        <f ca="1">_xlfn.XLOOKUP(Orders[[#This Row],[CustomerID]],'Customers'!A:A,'Customers'!B:B)</f>
        <v>Henry Wright</v>
      </c>
      <c r="L189" s="4" t="str">
        <f ca="1">_xlfn.XLOOKUP(Orders[[#This Row],[ProductID]],Products!A:A,Products!B:B)</f>
        <v>Desk Organizer</v>
      </c>
      <c r="M189" s="4" t="str">
        <f ca="1">_xlfn.XLOOKUP(Orders[[#This Row],[ProductID]],Products!A:A,Products!C:C)</f>
        <v>Office Supplies</v>
      </c>
      <c r="N189" s="4" t="str">
        <f ca="1">_xlfn.XLOOKUP(Orders[[#This Row],[RegionID]],'Regions'!A:A,'Regions'!B:B)</f>
        <v>Yorkshire</v>
      </c>
    </row>
    <row r="190" spans="1:14" x14ac:dyDescent="0.25">
      <c r="A190" s="3">
        <v>1189</v>
      </c>
      <c r="B190" s="1">
        <v>45849</v>
      </c>
      <c r="C190" t="str">
        <f t="shared" ca="1" si="3"/>
        <v>C004</v>
      </c>
      <c r="D190" t="str">
        <f t="shared" ca="1" si="4"/>
        <v>P012</v>
      </c>
      <c r="E190" s="3">
        <f t="shared" ca="1" si="5"/>
        <v>6</v>
      </c>
      <c r="F190" s="4">
        <f ca="1">_xlfn.XLOOKUP(Orders[[#This Row],[ProductID]],Products!A:A,Products!D:D)</f>
        <v>299.99</v>
      </c>
      <c r="G190" t="str">
        <f ca="1">_xlfn.XLOOKUP(Orders[[#This Row],[CustomerID]],'Customers'!A:A,'Customers'!F:F)</f>
        <v>R04</v>
      </c>
      <c r="H190" t="str">
        <f>TEXT(Orders[[#This Row],[OrderDate]],"mmm")</f>
        <v>Jul</v>
      </c>
      <c r="I190" s="2">
        <f>YEAR(Orders[[#This Row],[OrderDate]])</f>
        <v>2025</v>
      </c>
      <c r="J190" s="4">
        <f ca="1">Orders[[#This Row],[Quantity]]*Orders[[#This Row],[UnitPrice]]</f>
        <v>1799.94</v>
      </c>
      <c r="K190" s="4" t="str">
        <f ca="1">_xlfn.XLOOKUP(Orders[[#This Row],[CustomerID]],'Customers'!A:A,'Customers'!B:B)</f>
        <v>Sophia Williams</v>
      </c>
      <c r="L190" s="4" t="str">
        <f ca="1">_xlfn.XLOOKUP(Orders[[#This Row],[ProductID]],Products!A:A,Products!B:B)</f>
        <v>Tablet</v>
      </c>
      <c r="M190" s="4" t="str">
        <f ca="1">_xlfn.XLOOKUP(Orders[[#This Row],[ProductID]],Products!A:A,Products!C:C)</f>
        <v>Electronics</v>
      </c>
      <c r="N190" s="4" t="str">
        <f ca="1">_xlfn.XLOOKUP(Orders[[#This Row],[RegionID]],'Regions'!A:A,'Regions'!B:B)</f>
        <v>Yorkshire</v>
      </c>
    </row>
    <row r="191" spans="1:14" x14ac:dyDescent="0.25">
      <c r="A191" s="3">
        <v>1190</v>
      </c>
      <c r="B191" s="1">
        <v>45852</v>
      </c>
      <c r="C191" t="str">
        <f t="shared" ca="1" si="3"/>
        <v>C004</v>
      </c>
      <c r="D191" t="str">
        <f t="shared" ca="1" si="4"/>
        <v>P015</v>
      </c>
      <c r="E191" s="3">
        <f t="shared" ca="1" si="5"/>
        <v>5</v>
      </c>
      <c r="F191" s="4">
        <f ca="1">_xlfn.XLOOKUP(Orders[[#This Row],[ProductID]],Products!A:A,Products!D:D)</f>
        <v>79.989999999999995</v>
      </c>
      <c r="G191" t="str">
        <f ca="1">_xlfn.XLOOKUP(Orders[[#This Row],[CustomerID]],'Customers'!A:A,'Customers'!F:F)</f>
        <v>R04</v>
      </c>
      <c r="H191" t="str">
        <f>TEXT(Orders[[#This Row],[OrderDate]],"mmm")</f>
        <v>Jul</v>
      </c>
      <c r="I191" s="2">
        <f>YEAR(Orders[[#This Row],[OrderDate]])</f>
        <v>2025</v>
      </c>
      <c r="J191" s="4">
        <f ca="1">Orders[[#This Row],[Quantity]]*Orders[[#This Row],[UnitPrice]]</f>
        <v>399.95</v>
      </c>
      <c r="K191" s="4" t="str">
        <f ca="1">_xlfn.XLOOKUP(Orders[[#This Row],[CustomerID]],'Customers'!A:A,'Customers'!B:B)</f>
        <v>Sophia Williams</v>
      </c>
      <c r="L191" s="4" t="str">
        <f ca="1">_xlfn.XLOOKUP(Orders[[#This Row],[ProductID]],Products!A:A,Products!B:B)</f>
        <v>Headphones</v>
      </c>
      <c r="M191" s="4" t="str">
        <f ca="1">_xlfn.XLOOKUP(Orders[[#This Row],[ProductID]],Products!A:A,Products!C:C)</f>
        <v>Electronics</v>
      </c>
      <c r="N191" s="4" t="str">
        <f ca="1">_xlfn.XLOOKUP(Orders[[#This Row],[RegionID]],'Regions'!A:A,'Regions'!B:B)</f>
        <v>Yorkshire</v>
      </c>
    </row>
    <row r="192" spans="1:14" x14ac:dyDescent="0.25">
      <c r="A192" s="3">
        <v>1191</v>
      </c>
      <c r="B192" s="1">
        <v>45853</v>
      </c>
      <c r="C192" t="str">
        <f t="shared" ca="1" si="3"/>
        <v>C020</v>
      </c>
      <c r="D192" t="str">
        <f t="shared" ca="1" si="4"/>
        <v>P010</v>
      </c>
      <c r="E192" s="3">
        <f t="shared" ca="1" si="5"/>
        <v>1</v>
      </c>
      <c r="F192" s="4">
        <f ca="1">_xlfn.XLOOKUP(Orders[[#This Row],[ProductID]],Products!A:A,Products!D:D)</f>
        <v>39.99</v>
      </c>
      <c r="G192" t="str">
        <f ca="1">_xlfn.XLOOKUP(Orders[[#This Row],[CustomerID]],'Customers'!A:A,'Customers'!F:F)</f>
        <v>R04</v>
      </c>
      <c r="H192" t="str">
        <f>TEXT(Orders[[#This Row],[OrderDate]],"mmm")</f>
        <v>Jul</v>
      </c>
      <c r="I192" s="2">
        <f>YEAR(Orders[[#This Row],[OrderDate]])</f>
        <v>2025</v>
      </c>
      <c r="J192" s="4">
        <f ca="1">Orders[[#This Row],[Quantity]]*Orders[[#This Row],[UnitPrice]]</f>
        <v>39.99</v>
      </c>
      <c r="K192" s="4" t="str">
        <f ca="1">_xlfn.XLOOKUP(Orders[[#This Row],[CustomerID]],'Customers'!A:A,'Customers'!B:B)</f>
        <v>Ella Lewis</v>
      </c>
      <c r="L192" s="4" t="str">
        <f ca="1">_xlfn.XLOOKUP(Orders[[#This Row],[ProductID]],Products!A:A,Products!B:B)</f>
        <v>Backpack</v>
      </c>
      <c r="M192" s="4" t="str">
        <f ca="1">_xlfn.XLOOKUP(Orders[[#This Row],[ProductID]],Products!A:A,Products!C:C)</f>
        <v>Accessories</v>
      </c>
      <c r="N192" s="4" t="str">
        <f ca="1">_xlfn.XLOOKUP(Orders[[#This Row],[RegionID]],'Regions'!A:A,'Regions'!B:B)</f>
        <v>Yorkshire</v>
      </c>
    </row>
    <row r="193" spans="1:14" x14ac:dyDescent="0.25">
      <c r="A193" s="3">
        <v>1192</v>
      </c>
      <c r="B193" s="1">
        <v>45854</v>
      </c>
      <c r="C193" t="str">
        <f t="shared" ca="1" si="3"/>
        <v>C021</v>
      </c>
      <c r="D193" t="str">
        <f t="shared" ca="1" si="4"/>
        <v>P002</v>
      </c>
      <c r="E193" s="3">
        <f t="shared" ca="1" si="5"/>
        <v>3</v>
      </c>
      <c r="F193" s="4">
        <f ca="1">_xlfn.XLOOKUP(Orders[[#This Row],[ProductID]],Products!A:A,Products!D:D)</f>
        <v>15.5</v>
      </c>
      <c r="G193" t="str">
        <f ca="1">_xlfn.XLOOKUP(Orders[[#This Row],[CustomerID]],'Customers'!A:A,'Customers'!F:F)</f>
        <v>R04</v>
      </c>
      <c r="H193" t="str">
        <f>TEXT(Orders[[#This Row],[OrderDate]],"mmm")</f>
        <v>Jul</v>
      </c>
      <c r="I193" s="2">
        <f>YEAR(Orders[[#This Row],[OrderDate]])</f>
        <v>2025</v>
      </c>
      <c r="J193" s="4">
        <f ca="1">Orders[[#This Row],[Quantity]]*Orders[[#This Row],[UnitPrice]]</f>
        <v>46.5</v>
      </c>
      <c r="K193" s="4" t="str">
        <f ca="1">_xlfn.XLOOKUP(Orders[[#This Row],[CustomerID]],'Customers'!A:A,'Customers'!B:B)</f>
        <v>Alfie Lee</v>
      </c>
      <c r="L193" s="4" t="str">
        <f ca="1">_xlfn.XLOOKUP(Orders[[#This Row],[ProductID]],Products!A:A,Products!B:B)</f>
        <v>Notebook</v>
      </c>
      <c r="M193" s="4" t="str">
        <f ca="1">_xlfn.XLOOKUP(Orders[[#This Row],[ProductID]],Products!A:A,Products!C:C)</f>
        <v>Stationery</v>
      </c>
      <c r="N193" s="4" t="str">
        <f ca="1">_xlfn.XLOOKUP(Orders[[#This Row],[RegionID]],'Regions'!A:A,'Regions'!B:B)</f>
        <v>Yorkshire</v>
      </c>
    </row>
    <row r="194" spans="1:14" x14ac:dyDescent="0.25">
      <c r="A194" s="3">
        <v>1193</v>
      </c>
      <c r="B194" s="1">
        <v>45855</v>
      </c>
      <c r="C194" t="str">
        <f t="shared" ca="1" si="3"/>
        <v>C023</v>
      </c>
      <c r="D194" t="str">
        <f t="shared" ca="1" si="4"/>
        <v>P016</v>
      </c>
      <c r="E194" s="3">
        <f t="shared" ca="1" si="5"/>
        <v>6</v>
      </c>
      <c r="F194" s="4">
        <f ca="1">_xlfn.XLOOKUP(Orders[[#This Row],[ProductID]],Products!A:A,Products!D:D)</f>
        <v>399.99</v>
      </c>
      <c r="G194" t="str">
        <f ca="1">_xlfn.XLOOKUP(Orders[[#This Row],[CustomerID]],'Customers'!A:A,'Customers'!F:F)</f>
        <v>R03</v>
      </c>
      <c r="H194" t="str">
        <f>TEXT(Orders[[#This Row],[OrderDate]],"mmm")</f>
        <v>Jul</v>
      </c>
      <c r="I194" s="2">
        <f>YEAR(Orders[[#This Row],[OrderDate]])</f>
        <v>2025</v>
      </c>
      <c r="J194" s="4">
        <f ca="1">Orders[[#This Row],[Quantity]]*Orders[[#This Row],[UnitPrice]]</f>
        <v>2399.94</v>
      </c>
      <c r="K194" s="4" t="str">
        <f ca="1">_xlfn.XLOOKUP(Orders[[#This Row],[CustomerID]],'Customers'!A:A,'Customers'!B:B)</f>
        <v>Arthur Hall</v>
      </c>
      <c r="L194" s="4" t="str">
        <f ca="1">_xlfn.XLOOKUP(Orders[[#This Row],[ProductID]],Products!A:A,Products!B:B)</f>
        <v>Standing Desk</v>
      </c>
      <c r="M194" s="4" t="str">
        <f ca="1">_xlfn.XLOOKUP(Orders[[#This Row],[ProductID]],Products!A:A,Products!C:C)</f>
        <v>Furniture</v>
      </c>
      <c r="N194" s="4" t="str">
        <f ca="1">_xlfn.XLOOKUP(Orders[[#This Row],[RegionID]],'Regions'!A:A,'Regions'!B:B)</f>
        <v>Midlands</v>
      </c>
    </row>
    <row r="195" spans="1:14" x14ac:dyDescent="0.25">
      <c r="A195" s="3">
        <v>1194</v>
      </c>
      <c r="B195" s="1">
        <v>45856</v>
      </c>
      <c r="C195" t="str">
        <f t="shared" ca="1" si="3"/>
        <v>C006</v>
      </c>
      <c r="D195" t="str">
        <f t="shared" ca="1" si="4"/>
        <v>P017</v>
      </c>
      <c r="E195" s="3">
        <f t="shared" ca="1" si="5"/>
        <v>9</v>
      </c>
      <c r="F195" s="4">
        <f ca="1">_xlfn.XLOOKUP(Orders[[#This Row],[ProductID]],Products!A:A,Products!D:D)</f>
        <v>3.99</v>
      </c>
      <c r="G195" t="str">
        <f ca="1">_xlfn.XLOOKUP(Orders[[#This Row],[CustomerID]],'Customers'!A:A,'Customers'!F:F)</f>
        <v>R03</v>
      </c>
      <c r="H195" t="str">
        <f>TEXT(Orders[[#This Row],[OrderDate]],"mmm")</f>
        <v>Jul</v>
      </c>
      <c r="I195" s="2">
        <f>YEAR(Orders[[#This Row],[OrderDate]])</f>
        <v>2025</v>
      </c>
      <c r="J195" s="4">
        <f ca="1">Orders[[#This Row],[Quantity]]*Orders[[#This Row],[UnitPrice]]</f>
        <v>35.910000000000004</v>
      </c>
      <c r="K195" s="4" t="str">
        <f ca="1">_xlfn.XLOOKUP(Orders[[#This Row],[CustomerID]],'Customers'!A:A,'Customers'!B:B)</f>
        <v>Amelia Taylor</v>
      </c>
      <c r="L195" s="4" t="str">
        <f ca="1">_xlfn.XLOOKUP(Orders[[#This Row],[ProductID]],Products!A:A,Products!B:B)</f>
        <v>Sticky Notes</v>
      </c>
      <c r="M195" s="4" t="str">
        <f ca="1">_xlfn.XLOOKUP(Orders[[#This Row],[ProductID]],Products!A:A,Products!C:C)</f>
        <v>Stationery</v>
      </c>
      <c r="N195" s="4" t="str">
        <f ca="1">_xlfn.XLOOKUP(Orders[[#This Row],[RegionID]],'Regions'!A:A,'Regions'!B:B)</f>
        <v>Midlands</v>
      </c>
    </row>
    <row r="196" spans="1:14" x14ac:dyDescent="0.25">
      <c r="A196" s="3">
        <v>1195</v>
      </c>
      <c r="B196" s="1">
        <v>45859</v>
      </c>
      <c r="C196" t="str">
        <f t="shared" ca="1" si="3"/>
        <v>C010</v>
      </c>
      <c r="D196" t="str">
        <f t="shared" ca="1" si="4"/>
        <v>P020</v>
      </c>
      <c r="E196" s="3">
        <f t="shared" ca="1" si="5"/>
        <v>7</v>
      </c>
      <c r="F196" s="4">
        <f ca="1">_xlfn.XLOOKUP(Orders[[#This Row],[ProductID]],Products!A:A,Products!D:D)</f>
        <v>14.99</v>
      </c>
      <c r="G196" t="str">
        <f ca="1">_xlfn.XLOOKUP(Orders[[#This Row],[CustomerID]],'Customers'!A:A,'Customers'!F:F)</f>
        <v>R03</v>
      </c>
      <c r="H196" t="str">
        <f>TEXT(Orders[[#This Row],[OrderDate]],"mmm")</f>
        <v>Jul</v>
      </c>
      <c r="I196" s="2">
        <f>YEAR(Orders[[#This Row],[OrderDate]])</f>
        <v>2025</v>
      </c>
      <c r="J196" s="4">
        <f ca="1">Orders[[#This Row],[Quantity]]*Orders[[#This Row],[UnitPrice]]</f>
        <v>104.93</v>
      </c>
      <c r="K196" s="4" t="str">
        <f ca="1">_xlfn.XLOOKUP(Orders[[#This Row],[CustomerID]],'Customers'!A:A,'Customers'!B:B)</f>
        <v>Ava Thomas</v>
      </c>
      <c r="L196" s="4" t="str">
        <f ca="1">_xlfn.XLOOKUP(Orders[[#This Row],[ProductID]],Products!A:A,Products!B:B)</f>
        <v>Extension Cable</v>
      </c>
      <c r="M196" s="4" t="str">
        <f ca="1">_xlfn.XLOOKUP(Orders[[#This Row],[ProductID]],Products!A:A,Products!C:C)</f>
        <v>Electronics</v>
      </c>
      <c r="N196" s="4" t="str">
        <f ca="1">_xlfn.XLOOKUP(Orders[[#This Row],[RegionID]],'Regions'!A:A,'Regions'!B:B)</f>
        <v>Midlands</v>
      </c>
    </row>
    <row r="197" spans="1:14" x14ac:dyDescent="0.25">
      <c r="A197" s="3">
        <v>1196</v>
      </c>
      <c r="B197" s="1">
        <v>45860</v>
      </c>
      <c r="C197" t="str">
        <f t="shared" ca="1" si="3"/>
        <v>C025</v>
      </c>
      <c r="D197" t="str">
        <f t="shared" ca="1" si="4"/>
        <v>P016</v>
      </c>
      <c r="E197" s="3">
        <f t="shared" ca="1" si="5"/>
        <v>6</v>
      </c>
      <c r="F197" s="4">
        <f ca="1">_xlfn.XLOOKUP(Orders[[#This Row],[ProductID]],Products!A:A,Products!D:D)</f>
        <v>399.99</v>
      </c>
      <c r="G197" t="str">
        <f ca="1">_xlfn.XLOOKUP(Orders[[#This Row],[CustomerID]],'Customers'!A:A,'Customers'!F:F)</f>
        <v>R05</v>
      </c>
      <c r="H197" t="str">
        <f>TEXT(Orders[[#This Row],[OrderDate]],"mmm")</f>
        <v>Jul</v>
      </c>
      <c r="I197" s="2">
        <f>YEAR(Orders[[#This Row],[OrderDate]])</f>
        <v>2025</v>
      </c>
      <c r="J197" s="4">
        <f ca="1">Orders[[#This Row],[Quantity]]*Orders[[#This Row],[UnitPrice]]</f>
        <v>2399.94</v>
      </c>
      <c r="K197" s="4" t="str">
        <f ca="1">_xlfn.XLOOKUP(Orders[[#This Row],[CustomerID]],'Customers'!A:A,'Customers'!B:B)</f>
        <v>Theo Young</v>
      </c>
      <c r="L197" s="4" t="str">
        <f ca="1">_xlfn.XLOOKUP(Orders[[#This Row],[ProductID]],Products!A:A,Products!B:B)</f>
        <v>Standing Desk</v>
      </c>
      <c r="M197" s="4" t="str">
        <f ca="1">_xlfn.XLOOKUP(Orders[[#This Row],[ProductID]],Products!A:A,Products!C:C)</f>
        <v>Furniture</v>
      </c>
      <c r="N197" s="4" t="str">
        <f ca="1">_xlfn.XLOOKUP(Orders[[#This Row],[RegionID]],'Regions'!A:A,'Regions'!B:B)</f>
        <v>Scotland</v>
      </c>
    </row>
    <row r="198" spans="1:14" x14ac:dyDescent="0.25">
      <c r="A198" s="3">
        <v>1197</v>
      </c>
      <c r="B198" s="1">
        <v>45861</v>
      </c>
      <c r="C198" t="str">
        <f t="shared" ca="1" si="3"/>
        <v>C003</v>
      </c>
      <c r="D198" t="str">
        <f t="shared" ca="1" si="4"/>
        <v>P012</v>
      </c>
      <c r="E198" s="3">
        <f t="shared" ca="1" si="5"/>
        <v>2</v>
      </c>
      <c r="F198" s="4">
        <f ca="1">_xlfn.XLOOKUP(Orders[[#This Row],[ProductID]],Products!A:A,Products!D:D)</f>
        <v>299.99</v>
      </c>
      <c r="G198" t="str">
        <f ca="1">_xlfn.XLOOKUP(Orders[[#This Row],[CustomerID]],'Customers'!A:A,'Customers'!F:F)</f>
        <v>R03</v>
      </c>
      <c r="H198" t="str">
        <f>TEXT(Orders[[#This Row],[OrderDate]],"mmm")</f>
        <v>Jul</v>
      </c>
      <c r="I198" s="2">
        <f>YEAR(Orders[[#This Row],[OrderDate]])</f>
        <v>2025</v>
      </c>
      <c r="J198" s="4">
        <f ca="1">Orders[[#This Row],[Quantity]]*Orders[[#This Row],[UnitPrice]]</f>
        <v>599.98</v>
      </c>
      <c r="K198" s="4" t="str">
        <f ca="1">_xlfn.XLOOKUP(Orders[[#This Row],[CustomerID]],'Customers'!A:A,'Customers'!B:B)</f>
        <v>Oliver Brown</v>
      </c>
      <c r="L198" s="4" t="str">
        <f ca="1">_xlfn.XLOOKUP(Orders[[#This Row],[ProductID]],Products!A:A,Products!B:B)</f>
        <v>Tablet</v>
      </c>
      <c r="M198" s="4" t="str">
        <f ca="1">_xlfn.XLOOKUP(Orders[[#This Row],[ProductID]],Products!A:A,Products!C:C)</f>
        <v>Electronics</v>
      </c>
      <c r="N198" s="4" t="str">
        <f ca="1">_xlfn.XLOOKUP(Orders[[#This Row],[RegionID]],'Regions'!A:A,'Regions'!B:B)</f>
        <v>Midlands</v>
      </c>
    </row>
    <row r="199" spans="1:14" x14ac:dyDescent="0.25">
      <c r="A199" s="3">
        <v>1198</v>
      </c>
      <c r="B199" s="1">
        <v>45862</v>
      </c>
      <c r="C199" t="str">
        <f t="shared" ca="1" si="3"/>
        <v>C029</v>
      </c>
      <c r="D199" t="str">
        <f t="shared" ca="1" si="4"/>
        <v>P016</v>
      </c>
      <c r="E199" s="3">
        <f t="shared" ca="1" si="5"/>
        <v>9</v>
      </c>
      <c r="F199" s="4">
        <f ca="1">_xlfn.XLOOKUP(Orders[[#This Row],[ProductID]],Products!A:A,Products!D:D)</f>
        <v>399.99</v>
      </c>
      <c r="G199" t="str">
        <f ca="1">_xlfn.XLOOKUP(Orders[[#This Row],[CustomerID]],'Customers'!A:A,'Customers'!F:F)</f>
        <v>R04</v>
      </c>
      <c r="H199" t="str">
        <f>TEXT(Orders[[#This Row],[OrderDate]],"mmm")</f>
        <v>Jul</v>
      </c>
      <c r="I199" s="2">
        <f>YEAR(Orders[[#This Row],[OrderDate]])</f>
        <v>2025</v>
      </c>
      <c r="J199" s="4">
        <f ca="1">Orders[[#This Row],[Quantity]]*Orders[[#This Row],[UnitPrice]]</f>
        <v>3599.91</v>
      </c>
      <c r="K199" s="4" t="str">
        <f ca="1">_xlfn.XLOOKUP(Orders[[#This Row],[CustomerID]],'Customers'!A:A,'Customers'!B:B)</f>
        <v>Jacob Green</v>
      </c>
      <c r="L199" s="4" t="str">
        <f ca="1">_xlfn.XLOOKUP(Orders[[#This Row],[ProductID]],Products!A:A,Products!B:B)</f>
        <v>Standing Desk</v>
      </c>
      <c r="M199" s="4" t="str">
        <f ca="1">_xlfn.XLOOKUP(Orders[[#This Row],[ProductID]],Products!A:A,Products!C:C)</f>
        <v>Furniture</v>
      </c>
      <c r="N199" s="4" t="str">
        <f ca="1">_xlfn.XLOOKUP(Orders[[#This Row],[RegionID]],'Regions'!A:A,'Regions'!B:B)</f>
        <v>Yorkshire</v>
      </c>
    </row>
    <row r="200" spans="1:14" x14ac:dyDescent="0.25">
      <c r="A200" s="3">
        <v>1199</v>
      </c>
      <c r="B200" s="1">
        <v>45863</v>
      </c>
      <c r="C200" t="str">
        <f t="shared" ca="1" si="3"/>
        <v>C010</v>
      </c>
      <c r="D200" t="str">
        <f t="shared" ca="1" si="4"/>
        <v>P002</v>
      </c>
      <c r="E200" s="3">
        <f t="shared" ca="1" si="5"/>
        <v>5</v>
      </c>
      <c r="F200" s="4">
        <f ca="1">_xlfn.XLOOKUP(Orders[[#This Row],[ProductID]],Products!A:A,Products!D:D)</f>
        <v>15.5</v>
      </c>
      <c r="G200" t="str">
        <f ca="1">_xlfn.XLOOKUP(Orders[[#This Row],[CustomerID]],'Customers'!A:A,'Customers'!F:F)</f>
        <v>R03</v>
      </c>
      <c r="H200" t="str">
        <f>TEXT(Orders[[#This Row],[OrderDate]],"mmm")</f>
        <v>Jul</v>
      </c>
      <c r="I200" s="2">
        <f>YEAR(Orders[[#This Row],[OrderDate]])</f>
        <v>2025</v>
      </c>
      <c r="J200" s="4">
        <f ca="1">Orders[[#This Row],[Quantity]]*Orders[[#This Row],[UnitPrice]]</f>
        <v>77.5</v>
      </c>
      <c r="K200" s="4" t="str">
        <f ca="1">_xlfn.XLOOKUP(Orders[[#This Row],[CustomerID]],'Customers'!A:A,'Customers'!B:B)</f>
        <v>Ava Thomas</v>
      </c>
      <c r="L200" s="4" t="str">
        <f ca="1">_xlfn.XLOOKUP(Orders[[#This Row],[ProductID]],Products!A:A,Products!B:B)</f>
        <v>Notebook</v>
      </c>
      <c r="M200" s="4" t="str">
        <f ca="1">_xlfn.XLOOKUP(Orders[[#This Row],[ProductID]],Products!A:A,Products!C:C)</f>
        <v>Stationery</v>
      </c>
      <c r="N200" s="4" t="str">
        <f ca="1">_xlfn.XLOOKUP(Orders[[#This Row],[RegionID]],'Regions'!A:A,'Regions'!B:B)</f>
        <v>Midlands</v>
      </c>
    </row>
    <row r="201" spans="1:14" x14ac:dyDescent="0.25">
      <c r="A201" s="3">
        <v>1200</v>
      </c>
      <c r="B201" s="1">
        <v>45866</v>
      </c>
      <c r="C201" t="str">
        <f t="shared" ca="1" si="3"/>
        <v>C019</v>
      </c>
      <c r="D201" t="str">
        <f t="shared" ca="1" si="4"/>
        <v>P003</v>
      </c>
      <c r="E201" s="3">
        <f t="shared" ca="1" si="5"/>
        <v>1</v>
      </c>
      <c r="F201" s="4">
        <f ca="1">_xlfn.XLOOKUP(Orders[[#This Row],[ProductID]],Products!A:A,Products!D:D)</f>
        <v>199.99</v>
      </c>
      <c r="G201" t="str">
        <f ca="1">_xlfn.XLOOKUP(Orders[[#This Row],[CustomerID]],'Customers'!A:A,'Customers'!F:F)</f>
        <v>R02</v>
      </c>
      <c r="H201" t="str">
        <f>TEXT(Orders[[#This Row],[OrderDate]],"mmm")</f>
        <v>Jul</v>
      </c>
      <c r="I201" s="2">
        <f>YEAR(Orders[[#This Row],[OrderDate]])</f>
        <v>2025</v>
      </c>
      <c r="J201" s="4">
        <f ca="1">Orders[[#This Row],[Quantity]]*Orders[[#This Row],[UnitPrice]]</f>
        <v>199.99</v>
      </c>
      <c r="K201" s="4" t="str">
        <f ca="1">_xlfn.XLOOKUP(Orders[[#This Row],[CustomerID]],'Customers'!A:A,'Customers'!B:B)</f>
        <v>Freddie Rodriguez</v>
      </c>
      <c r="L201" s="4" t="str">
        <f ca="1">_xlfn.XLOOKUP(Orders[[#This Row],[ProductID]],Products!A:A,Products!B:B)</f>
        <v>Smartphone</v>
      </c>
      <c r="M201" s="4" t="str">
        <f ca="1">_xlfn.XLOOKUP(Orders[[#This Row],[ProductID]],Products!A:A,Products!C:C)</f>
        <v>Electronics</v>
      </c>
      <c r="N201" s="4" t="str">
        <f ca="1">_xlfn.XLOOKUP(Orders[[#This Row],[RegionID]],'Regions'!A:A,'Regions'!B:B)</f>
        <v>North West</v>
      </c>
    </row>
    <row r="202" spans="1:14" x14ac:dyDescent="0.25">
      <c r="A202" s="3">
        <v>1201</v>
      </c>
      <c r="B202" s="1">
        <v>45867</v>
      </c>
      <c r="C202" t="str">
        <f t="shared" ca="1" si="3"/>
        <v>C010</v>
      </c>
      <c r="D202" t="str">
        <f t="shared" ca="1" si="4"/>
        <v>P009</v>
      </c>
      <c r="E202" s="3">
        <f t="shared" ca="1" si="5"/>
        <v>5</v>
      </c>
      <c r="F202" s="4">
        <f ca="1">_xlfn.XLOOKUP(Orders[[#This Row],[ProductID]],Products!A:A,Products!D:D)</f>
        <v>12.99</v>
      </c>
      <c r="G202" t="str">
        <f ca="1">_xlfn.XLOOKUP(Orders[[#This Row],[CustomerID]],'Customers'!A:A,'Customers'!F:F)</f>
        <v>R03</v>
      </c>
      <c r="H202" t="str">
        <f>TEXT(Orders[[#This Row],[OrderDate]],"mmm")</f>
        <v>Jul</v>
      </c>
      <c r="I202" s="2">
        <f>YEAR(Orders[[#This Row],[OrderDate]])</f>
        <v>2025</v>
      </c>
      <c r="J202" s="4">
        <f ca="1">Orders[[#This Row],[Quantity]]*Orders[[#This Row],[UnitPrice]]</f>
        <v>64.95</v>
      </c>
      <c r="K202" s="4" t="str">
        <f ca="1">_xlfn.XLOOKUP(Orders[[#This Row],[CustomerID]],'Customers'!A:A,'Customers'!B:B)</f>
        <v>Ava Thomas</v>
      </c>
      <c r="L202" s="4" t="str">
        <f ca="1">_xlfn.XLOOKUP(Orders[[#This Row],[ProductID]],Products!A:A,Products!B:B)</f>
        <v>Water Bottle</v>
      </c>
      <c r="M202" s="4" t="str">
        <f ca="1">_xlfn.XLOOKUP(Orders[[#This Row],[ProductID]],Products!A:A,Products!C:C)</f>
        <v>Home</v>
      </c>
      <c r="N202" s="4" t="str">
        <f ca="1">_xlfn.XLOOKUP(Orders[[#This Row],[RegionID]],'Regions'!A:A,'Regions'!B:B)</f>
        <v>Midlands</v>
      </c>
    </row>
    <row r="203" spans="1:14" x14ac:dyDescent="0.25">
      <c r="A203" s="3">
        <v>1202</v>
      </c>
      <c r="B203" s="1">
        <v>45868</v>
      </c>
      <c r="C203" t="str">
        <f t="shared" ca="1" si="3"/>
        <v>C026</v>
      </c>
      <c r="D203" t="str">
        <f t="shared" ca="1" si="4"/>
        <v>P008</v>
      </c>
      <c r="E203" s="3">
        <f t="shared" ca="1" si="5"/>
        <v>6</v>
      </c>
      <c r="F203" s="4">
        <f ca="1">_xlfn.XLOOKUP(Orders[[#This Row],[ProductID]],Products!A:A,Products!D:D)</f>
        <v>149.99</v>
      </c>
      <c r="G203" t="str">
        <f ca="1">_xlfn.XLOOKUP(Orders[[#This Row],[CustomerID]],'Customers'!A:A,'Customers'!F:F)</f>
        <v>R05</v>
      </c>
      <c r="H203" t="str">
        <f>TEXT(Orders[[#This Row],[OrderDate]],"mmm")</f>
        <v>Jul</v>
      </c>
      <c r="I203" s="2">
        <f>YEAR(Orders[[#This Row],[OrderDate]])</f>
        <v>2025</v>
      </c>
      <c r="J203" s="4">
        <f ca="1">Orders[[#This Row],[Quantity]]*Orders[[#This Row],[UnitPrice]]</f>
        <v>899.94</v>
      </c>
      <c r="K203" s="4" t="str">
        <f ca="1">_xlfn.XLOOKUP(Orders[[#This Row],[CustomerID]],'Customers'!A:A,'Customers'!B:B)</f>
        <v>Poppy King</v>
      </c>
      <c r="L203" s="4" t="str">
        <f ca="1">_xlfn.XLOOKUP(Orders[[#This Row],[ProductID]],Products!A:A,Products!B:B)</f>
        <v>Monitor 24 inch</v>
      </c>
      <c r="M203" s="4" t="str">
        <f ca="1">_xlfn.XLOOKUP(Orders[[#This Row],[ProductID]],Products!A:A,Products!C:C)</f>
        <v>Electronics</v>
      </c>
      <c r="N203" s="4" t="str">
        <f ca="1">_xlfn.XLOOKUP(Orders[[#This Row],[RegionID]],'Regions'!A:A,'Regions'!B:B)</f>
        <v>Scotland</v>
      </c>
    </row>
    <row r="204" spans="1:14" x14ac:dyDescent="0.25">
      <c r="A204" s="3">
        <v>1203</v>
      </c>
      <c r="B204" s="1">
        <v>45869</v>
      </c>
      <c r="C204" t="str">
        <f t="shared" ca="1" si="3"/>
        <v>C030</v>
      </c>
      <c r="D204" t="str">
        <f t="shared" ca="1" si="4"/>
        <v>P018</v>
      </c>
      <c r="E204" s="3">
        <f t="shared" ca="1" si="5"/>
        <v>5</v>
      </c>
      <c r="F204" s="4">
        <f ca="1">_xlfn.XLOOKUP(Orders[[#This Row],[ProductID]],Products!A:A,Products!D:D)</f>
        <v>29.99</v>
      </c>
      <c r="G204" t="str">
        <f ca="1">_xlfn.XLOOKUP(Orders[[#This Row],[CustomerID]],'Customers'!A:A,'Customers'!F:F)</f>
        <v>R01</v>
      </c>
      <c r="H204" t="str">
        <f>TEXT(Orders[[#This Row],[OrderDate]],"mmm")</f>
        <v>Jul</v>
      </c>
      <c r="I204" s="2">
        <f>YEAR(Orders[[#This Row],[OrderDate]])</f>
        <v>2025</v>
      </c>
      <c r="J204" s="4">
        <f ca="1">Orders[[#This Row],[Quantity]]*Orders[[#This Row],[UnitPrice]]</f>
        <v>149.94999999999999</v>
      </c>
      <c r="K204" s="4" t="str">
        <f ca="1">_xlfn.XLOOKUP(Orders[[#This Row],[CustomerID]],'Customers'!A:A,'Customers'!B:B)</f>
        <v>Sophie Adams</v>
      </c>
      <c r="L204" s="4" t="str">
        <f ca="1">_xlfn.XLOOKUP(Orders[[#This Row],[ProductID]],Products!A:A,Products!B:B)</f>
        <v>Laptop Stand</v>
      </c>
      <c r="M204" s="4" t="str">
        <f ca="1">_xlfn.XLOOKUP(Orders[[#This Row],[ProductID]],Products!A:A,Products!C:C)</f>
        <v>Accessories</v>
      </c>
      <c r="N204" s="4" t="str">
        <f ca="1">_xlfn.XLOOKUP(Orders[[#This Row],[RegionID]],'Regions'!A:A,'Regions'!B:B)</f>
        <v>London</v>
      </c>
    </row>
    <row r="205" spans="1:14" x14ac:dyDescent="0.25">
      <c r="A205" s="3">
        <v>1204</v>
      </c>
      <c r="B205" s="1">
        <v>45870</v>
      </c>
      <c r="C205" t="str">
        <f t="shared" ca="1" si="3"/>
        <v>C014</v>
      </c>
      <c r="D205" t="str">
        <f t="shared" ca="1" si="4"/>
        <v>P009</v>
      </c>
      <c r="E205" s="3">
        <f t="shared" ca="1" si="5"/>
        <v>6</v>
      </c>
      <c r="F205" s="4">
        <f ca="1">_xlfn.XLOOKUP(Orders[[#This Row],[ProductID]],Products!A:A,Products!D:D)</f>
        <v>12.99</v>
      </c>
      <c r="G205" t="str">
        <f ca="1">_xlfn.XLOOKUP(Orders[[#This Row],[CustomerID]],'Customers'!A:A,'Customers'!F:F)</f>
        <v>R02</v>
      </c>
      <c r="H205" t="str">
        <f>TEXT(Orders[[#This Row],[OrderDate]],"mmm")</f>
        <v>Aug</v>
      </c>
      <c r="I205" s="2">
        <f>YEAR(Orders[[#This Row],[OrderDate]])</f>
        <v>2025</v>
      </c>
      <c r="J205" s="4">
        <f ca="1">Orders[[#This Row],[Quantity]]*Orders[[#This Row],[UnitPrice]]</f>
        <v>77.94</v>
      </c>
      <c r="K205" s="4" t="str">
        <f ca="1">_xlfn.XLOOKUP(Orders[[#This Row],[CustomerID]],'Customers'!A:A,'Customers'!B:B)</f>
        <v>Lily Thompson</v>
      </c>
      <c r="L205" s="4" t="str">
        <f ca="1">_xlfn.XLOOKUP(Orders[[#This Row],[ProductID]],Products!A:A,Products!B:B)</f>
        <v>Water Bottle</v>
      </c>
      <c r="M205" s="4" t="str">
        <f ca="1">_xlfn.XLOOKUP(Orders[[#This Row],[ProductID]],Products!A:A,Products!C:C)</f>
        <v>Home</v>
      </c>
      <c r="N205" s="4" t="str">
        <f ca="1">_xlfn.XLOOKUP(Orders[[#This Row],[RegionID]],'Regions'!A:A,'Regions'!B:B)</f>
        <v>North West</v>
      </c>
    </row>
    <row r="206" spans="1:14" x14ac:dyDescent="0.25">
      <c r="A206" s="3">
        <v>1205</v>
      </c>
      <c r="B206" s="1">
        <v>45873</v>
      </c>
      <c r="C206" t="str">
        <f t="shared" ca="1" si="3"/>
        <v>C004</v>
      </c>
      <c r="D206" t="str">
        <f t="shared" ca="1" si="4"/>
        <v>P017</v>
      </c>
      <c r="E206" s="3">
        <f t="shared" ca="1" si="5"/>
        <v>1</v>
      </c>
      <c r="F206" s="4">
        <f ca="1">_xlfn.XLOOKUP(Orders[[#This Row],[ProductID]],Products!A:A,Products!D:D)</f>
        <v>3.99</v>
      </c>
      <c r="G206" t="str">
        <f ca="1">_xlfn.XLOOKUP(Orders[[#This Row],[CustomerID]],'Customers'!A:A,'Customers'!F:F)</f>
        <v>R04</v>
      </c>
      <c r="H206" t="str">
        <f>TEXT(Orders[[#This Row],[OrderDate]],"mmm")</f>
        <v>Aug</v>
      </c>
      <c r="I206" s="2">
        <f>YEAR(Orders[[#This Row],[OrderDate]])</f>
        <v>2025</v>
      </c>
      <c r="J206" s="4">
        <f ca="1">Orders[[#This Row],[Quantity]]*Orders[[#This Row],[UnitPrice]]</f>
        <v>3.99</v>
      </c>
      <c r="K206" s="4" t="str">
        <f ca="1">_xlfn.XLOOKUP(Orders[[#This Row],[CustomerID]],'Customers'!A:A,'Customers'!B:B)</f>
        <v>Sophia Williams</v>
      </c>
      <c r="L206" s="4" t="str">
        <f ca="1">_xlfn.XLOOKUP(Orders[[#This Row],[ProductID]],Products!A:A,Products!B:B)</f>
        <v>Sticky Notes</v>
      </c>
      <c r="M206" s="4" t="str">
        <f ca="1">_xlfn.XLOOKUP(Orders[[#This Row],[ProductID]],Products!A:A,Products!C:C)</f>
        <v>Stationery</v>
      </c>
      <c r="N206" s="4" t="str">
        <f ca="1">_xlfn.XLOOKUP(Orders[[#This Row],[RegionID]],'Regions'!A:A,'Regions'!B:B)</f>
        <v>Yorkshire</v>
      </c>
    </row>
    <row r="207" spans="1:14" x14ac:dyDescent="0.25">
      <c r="A207" s="3">
        <v>1206</v>
      </c>
      <c r="B207" s="1">
        <v>45874</v>
      </c>
      <c r="C207" t="str">
        <f t="shared" ca="1" si="3"/>
        <v>C026</v>
      </c>
      <c r="D207" t="str">
        <f t="shared" ca="1" si="4"/>
        <v>P012</v>
      </c>
      <c r="E207" s="3">
        <f t="shared" ca="1" si="5"/>
        <v>8</v>
      </c>
      <c r="F207" s="4">
        <f ca="1">_xlfn.XLOOKUP(Orders[[#This Row],[ProductID]],Products!A:A,Products!D:D)</f>
        <v>299.99</v>
      </c>
      <c r="G207" t="str">
        <f ca="1">_xlfn.XLOOKUP(Orders[[#This Row],[CustomerID]],'Customers'!A:A,'Customers'!F:F)</f>
        <v>R05</v>
      </c>
      <c r="H207" t="str">
        <f>TEXT(Orders[[#This Row],[OrderDate]],"mmm")</f>
        <v>Aug</v>
      </c>
      <c r="I207" s="2">
        <f>YEAR(Orders[[#This Row],[OrderDate]])</f>
        <v>2025</v>
      </c>
      <c r="J207" s="4">
        <f ca="1">Orders[[#This Row],[Quantity]]*Orders[[#This Row],[UnitPrice]]</f>
        <v>2399.92</v>
      </c>
      <c r="K207" s="4" t="str">
        <f ca="1">_xlfn.XLOOKUP(Orders[[#This Row],[CustomerID]],'Customers'!A:A,'Customers'!B:B)</f>
        <v>Poppy King</v>
      </c>
      <c r="L207" s="4" t="str">
        <f ca="1">_xlfn.XLOOKUP(Orders[[#This Row],[ProductID]],Products!A:A,Products!B:B)</f>
        <v>Tablet</v>
      </c>
      <c r="M207" s="4" t="str">
        <f ca="1">_xlfn.XLOOKUP(Orders[[#This Row],[ProductID]],Products!A:A,Products!C:C)</f>
        <v>Electronics</v>
      </c>
      <c r="N207" s="4" t="str">
        <f ca="1">_xlfn.XLOOKUP(Orders[[#This Row],[RegionID]],'Regions'!A:A,'Regions'!B:B)</f>
        <v>Scotland</v>
      </c>
    </row>
    <row r="208" spans="1:14" x14ac:dyDescent="0.25">
      <c r="A208" s="3">
        <v>1207</v>
      </c>
      <c r="B208" s="1">
        <v>45875</v>
      </c>
      <c r="C208" t="str">
        <f t="shared" ca="1" si="3"/>
        <v>C011</v>
      </c>
      <c r="D208" t="str">
        <f t="shared" ca="1" si="4"/>
        <v>P003</v>
      </c>
      <c r="E208" s="3">
        <f t="shared" ca="1" si="5"/>
        <v>4</v>
      </c>
      <c r="F208" s="4">
        <f ca="1">_xlfn.XLOOKUP(Orders[[#This Row],[ProductID]],Products!A:A,Products!D:D)</f>
        <v>199.99</v>
      </c>
      <c r="G208" t="str">
        <f ca="1">_xlfn.XLOOKUP(Orders[[#This Row],[CustomerID]],'Customers'!A:A,'Customers'!F:F)</f>
        <v>R03</v>
      </c>
      <c r="H208" t="str">
        <f>TEXT(Orders[[#This Row],[OrderDate]],"mmm")</f>
        <v>Aug</v>
      </c>
      <c r="I208" s="2">
        <f>YEAR(Orders[[#This Row],[OrderDate]])</f>
        <v>2025</v>
      </c>
      <c r="J208" s="4">
        <f ca="1">Orders[[#This Row],[Quantity]]*Orders[[#This Row],[UnitPrice]]</f>
        <v>799.96</v>
      </c>
      <c r="K208" s="4" t="str">
        <f ca="1">_xlfn.XLOOKUP(Orders[[#This Row],[CustomerID]],'Customers'!A:A,'Customers'!B:B)</f>
        <v>George White</v>
      </c>
      <c r="L208" s="4" t="str">
        <f ca="1">_xlfn.XLOOKUP(Orders[[#This Row],[ProductID]],Products!A:A,Products!B:B)</f>
        <v>Smartphone</v>
      </c>
      <c r="M208" s="4" t="str">
        <f ca="1">_xlfn.XLOOKUP(Orders[[#This Row],[ProductID]],Products!A:A,Products!C:C)</f>
        <v>Electronics</v>
      </c>
      <c r="N208" s="4" t="str">
        <f ca="1">_xlfn.XLOOKUP(Orders[[#This Row],[RegionID]],'Regions'!A:A,'Regions'!B:B)</f>
        <v>Midlands</v>
      </c>
    </row>
    <row r="209" spans="1:14" x14ac:dyDescent="0.25">
      <c r="A209" s="3">
        <v>1208</v>
      </c>
      <c r="B209" s="1">
        <v>45876</v>
      </c>
      <c r="C209" t="str">
        <f t="shared" ref="C209:C272" ca="1" si="6">"C"&amp;TEXT(RANDBETWEEN(1,30),"000")</f>
        <v>C027</v>
      </c>
      <c r="D209" t="str">
        <f t="shared" ref="D209:D272" ca="1" si="7">"P"&amp;TEXT(RANDBETWEEN(1,20),"000")</f>
        <v>P006</v>
      </c>
      <c r="E209" s="3">
        <f t="shared" ref="E209:E272" ca="1" si="8">RANDBETWEEN(1,10)</f>
        <v>3</v>
      </c>
      <c r="F209" s="4">
        <f ca="1">_xlfn.XLOOKUP(Orders[[#This Row],[ProductID]],Products!A:A,Products!D:D)</f>
        <v>49.99</v>
      </c>
      <c r="G209" t="str">
        <f ca="1">_xlfn.XLOOKUP(Orders[[#This Row],[CustomerID]],'Customers'!A:A,'Customers'!F:F)</f>
        <v>R04</v>
      </c>
      <c r="H209" t="str">
        <f>TEXT(Orders[[#This Row],[OrderDate]],"mmm")</f>
        <v>Aug</v>
      </c>
      <c r="I209" s="2">
        <f>YEAR(Orders[[#This Row],[OrderDate]])</f>
        <v>2025</v>
      </c>
      <c r="J209" s="4">
        <f ca="1">Orders[[#This Row],[Quantity]]*Orders[[#This Row],[UnitPrice]]</f>
        <v>149.97</v>
      </c>
      <c r="K209" s="4" t="str">
        <f ca="1">_xlfn.XLOOKUP(Orders[[#This Row],[CustomerID]],'Customers'!A:A,'Customers'!B:B)</f>
        <v>Henry Wright</v>
      </c>
      <c r="L209" s="4" t="str">
        <f ca="1">_xlfn.XLOOKUP(Orders[[#This Row],[ProductID]],Products!A:A,Products!B:B)</f>
        <v>Desk Lamp</v>
      </c>
      <c r="M209" s="4" t="str">
        <f ca="1">_xlfn.XLOOKUP(Orders[[#This Row],[ProductID]],Products!A:A,Products!C:C)</f>
        <v>Furniture</v>
      </c>
      <c r="N209" s="4" t="str">
        <f ca="1">_xlfn.XLOOKUP(Orders[[#This Row],[RegionID]],'Regions'!A:A,'Regions'!B:B)</f>
        <v>Yorkshire</v>
      </c>
    </row>
    <row r="210" spans="1:14" x14ac:dyDescent="0.25">
      <c r="A210" s="3">
        <v>1209</v>
      </c>
      <c r="B210" s="1">
        <v>45877</v>
      </c>
      <c r="C210" t="str">
        <f t="shared" ca="1" si="6"/>
        <v>C025</v>
      </c>
      <c r="D210" t="str">
        <f t="shared" ca="1" si="7"/>
        <v>P017</v>
      </c>
      <c r="E210" s="3">
        <f t="shared" ca="1" si="8"/>
        <v>1</v>
      </c>
      <c r="F210" s="4">
        <f ca="1">_xlfn.XLOOKUP(Orders[[#This Row],[ProductID]],Products!A:A,Products!D:D)</f>
        <v>3.99</v>
      </c>
      <c r="G210" t="str">
        <f ca="1">_xlfn.XLOOKUP(Orders[[#This Row],[CustomerID]],'Customers'!A:A,'Customers'!F:F)</f>
        <v>R05</v>
      </c>
      <c r="H210" t="str">
        <f>TEXT(Orders[[#This Row],[OrderDate]],"mmm")</f>
        <v>Aug</v>
      </c>
      <c r="I210" s="2">
        <f>YEAR(Orders[[#This Row],[OrderDate]])</f>
        <v>2025</v>
      </c>
      <c r="J210" s="4">
        <f ca="1">Orders[[#This Row],[Quantity]]*Orders[[#This Row],[UnitPrice]]</f>
        <v>3.99</v>
      </c>
      <c r="K210" s="4" t="str">
        <f ca="1">_xlfn.XLOOKUP(Orders[[#This Row],[CustomerID]],'Customers'!A:A,'Customers'!B:B)</f>
        <v>Theo Young</v>
      </c>
      <c r="L210" s="4" t="str">
        <f ca="1">_xlfn.XLOOKUP(Orders[[#This Row],[ProductID]],Products!A:A,Products!B:B)</f>
        <v>Sticky Notes</v>
      </c>
      <c r="M210" s="4" t="str">
        <f ca="1">_xlfn.XLOOKUP(Orders[[#This Row],[ProductID]],Products!A:A,Products!C:C)</f>
        <v>Stationery</v>
      </c>
      <c r="N210" s="4" t="str">
        <f ca="1">_xlfn.XLOOKUP(Orders[[#This Row],[RegionID]],'Regions'!A:A,'Regions'!B:B)</f>
        <v>Scotland</v>
      </c>
    </row>
    <row r="211" spans="1:14" x14ac:dyDescent="0.25">
      <c r="A211" s="3">
        <v>1210</v>
      </c>
      <c r="B211" s="1">
        <v>45880</v>
      </c>
      <c r="C211" t="str">
        <f t="shared" ca="1" si="6"/>
        <v>C010</v>
      </c>
      <c r="D211" t="str">
        <f t="shared" ca="1" si="7"/>
        <v>P001</v>
      </c>
      <c r="E211" s="3">
        <f t="shared" ca="1" si="8"/>
        <v>8</v>
      </c>
      <c r="F211" s="4">
        <f ca="1">_xlfn.XLOOKUP(Orders[[#This Row],[ProductID]],Products!A:A,Products!D:D)</f>
        <v>25.99</v>
      </c>
      <c r="G211" t="str">
        <f ca="1">_xlfn.XLOOKUP(Orders[[#This Row],[CustomerID]],'Customers'!A:A,'Customers'!F:F)</f>
        <v>R03</v>
      </c>
      <c r="H211" t="str">
        <f>TEXT(Orders[[#This Row],[OrderDate]],"mmm")</f>
        <v>Aug</v>
      </c>
      <c r="I211" s="2">
        <f>YEAR(Orders[[#This Row],[OrderDate]])</f>
        <v>2025</v>
      </c>
      <c r="J211" s="4">
        <f ca="1">Orders[[#This Row],[Quantity]]*Orders[[#This Row],[UnitPrice]]</f>
        <v>207.92</v>
      </c>
      <c r="K211" s="4" t="str">
        <f ca="1">_xlfn.XLOOKUP(Orders[[#This Row],[CustomerID]],'Customers'!A:A,'Customers'!B:B)</f>
        <v>Ava Thomas</v>
      </c>
      <c r="L211" s="4" t="str">
        <f ca="1">_xlfn.XLOOKUP(Orders[[#This Row],[ProductID]],Products!A:A,Products!B:B)</f>
        <v>Wireless Mouse</v>
      </c>
      <c r="M211" s="4" t="str">
        <f ca="1">_xlfn.XLOOKUP(Orders[[#This Row],[ProductID]],Products!A:A,Products!C:C)</f>
        <v>Electronics</v>
      </c>
      <c r="N211" s="4" t="str">
        <f ca="1">_xlfn.XLOOKUP(Orders[[#This Row],[RegionID]],'Regions'!A:A,'Regions'!B:B)</f>
        <v>Midlands</v>
      </c>
    </row>
    <row r="212" spans="1:14" x14ac:dyDescent="0.25">
      <c r="A212" s="3">
        <v>1211</v>
      </c>
      <c r="B212" s="1">
        <v>45881</v>
      </c>
      <c r="C212" t="str">
        <f t="shared" ca="1" si="6"/>
        <v>C020</v>
      </c>
      <c r="D212" t="str">
        <f t="shared" ca="1" si="7"/>
        <v>P004</v>
      </c>
      <c r="E212" s="3">
        <f t="shared" ca="1" si="8"/>
        <v>6</v>
      </c>
      <c r="F212" s="4">
        <f ca="1">_xlfn.XLOOKUP(Orders[[#This Row],[ProductID]],Products!A:A,Products!D:D)</f>
        <v>89.99</v>
      </c>
      <c r="G212" t="str">
        <f ca="1">_xlfn.XLOOKUP(Orders[[#This Row],[CustomerID]],'Customers'!A:A,'Customers'!F:F)</f>
        <v>R04</v>
      </c>
      <c r="H212" t="str">
        <f>TEXT(Orders[[#This Row],[OrderDate]],"mmm")</f>
        <v>Aug</v>
      </c>
      <c r="I212" s="2">
        <f>YEAR(Orders[[#This Row],[OrderDate]])</f>
        <v>2025</v>
      </c>
      <c r="J212" s="4">
        <f ca="1">Orders[[#This Row],[Quantity]]*Orders[[#This Row],[UnitPrice]]</f>
        <v>539.93999999999994</v>
      </c>
      <c r="K212" s="4" t="str">
        <f ca="1">_xlfn.XLOOKUP(Orders[[#This Row],[CustomerID]],'Customers'!A:A,'Customers'!B:B)</f>
        <v>Ella Lewis</v>
      </c>
      <c r="L212" s="4" t="str">
        <f ca="1">_xlfn.XLOOKUP(Orders[[#This Row],[ProductID]],Products!A:A,Products!B:B)</f>
        <v>Office Chair</v>
      </c>
      <c r="M212" s="4" t="str">
        <f ca="1">_xlfn.XLOOKUP(Orders[[#This Row],[ProductID]],Products!A:A,Products!C:C)</f>
        <v>Furniture</v>
      </c>
      <c r="N212" s="4" t="str">
        <f ca="1">_xlfn.XLOOKUP(Orders[[#This Row],[RegionID]],'Regions'!A:A,'Regions'!B:B)</f>
        <v>Yorkshire</v>
      </c>
    </row>
    <row r="213" spans="1:14" x14ac:dyDescent="0.25">
      <c r="A213" s="3">
        <v>1212</v>
      </c>
      <c r="B213" s="1">
        <v>45882</v>
      </c>
      <c r="C213" t="str">
        <f t="shared" ca="1" si="6"/>
        <v>C026</v>
      </c>
      <c r="D213" t="str">
        <f t="shared" ca="1" si="7"/>
        <v>P017</v>
      </c>
      <c r="E213" s="3">
        <f t="shared" ca="1" si="8"/>
        <v>10</v>
      </c>
      <c r="F213" s="4">
        <f ca="1">_xlfn.XLOOKUP(Orders[[#This Row],[ProductID]],Products!A:A,Products!D:D)</f>
        <v>3.99</v>
      </c>
      <c r="G213" t="str">
        <f ca="1">_xlfn.XLOOKUP(Orders[[#This Row],[CustomerID]],'Customers'!A:A,'Customers'!F:F)</f>
        <v>R05</v>
      </c>
      <c r="H213" t="str">
        <f>TEXT(Orders[[#This Row],[OrderDate]],"mmm")</f>
        <v>Aug</v>
      </c>
      <c r="I213" s="2">
        <f>YEAR(Orders[[#This Row],[OrderDate]])</f>
        <v>2025</v>
      </c>
      <c r="J213" s="4">
        <f ca="1">Orders[[#This Row],[Quantity]]*Orders[[#This Row],[UnitPrice]]</f>
        <v>39.900000000000006</v>
      </c>
      <c r="K213" s="4" t="str">
        <f ca="1">_xlfn.XLOOKUP(Orders[[#This Row],[CustomerID]],'Customers'!A:A,'Customers'!B:B)</f>
        <v>Poppy King</v>
      </c>
      <c r="L213" s="4" t="str">
        <f ca="1">_xlfn.XLOOKUP(Orders[[#This Row],[ProductID]],Products!A:A,Products!B:B)</f>
        <v>Sticky Notes</v>
      </c>
      <c r="M213" s="4" t="str">
        <f ca="1">_xlfn.XLOOKUP(Orders[[#This Row],[ProductID]],Products!A:A,Products!C:C)</f>
        <v>Stationery</v>
      </c>
      <c r="N213" s="4" t="str">
        <f ca="1">_xlfn.XLOOKUP(Orders[[#This Row],[RegionID]],'Regions'!A:A,'Regions'!B:B)</f>
        <v>Scotland</v>
      </c>
    </row>
    <row r="214" spans="1:14" x14ac:dyDescent="0.25">
      <c r="A214" s="3">
        <v>1213</v>
      </c>
      <c r="B214" s="1">
        <v>45883</v>
      </c>
      <c r="C214" t="str">
        <f t="shared" ca="1" si="6"/>
        <v>C020</v>
      </c>
      <c r="D214" t="str">
        <f t="shared" ca="1" si="7"/>
        <v>P020</v>
      </c>
      <c r="E214" s="3">
        <f t="shared" ca="1" si="8"/>
        <v>7</v>
      </c>
      <c r="F214" s="4">
        <f ca="1">_xlfn.XLOOKUP(Orders[[#This Row],[ProductID]],Products!A:A,Products!D:D)</f>
        <v>14.99</v>
      </c>
      <c r="G214" t="str">
        <f ca="1">_xlfn.XLOOKUP(Orders[[#This Row],[CustomerID]],'Customers'!A:A,'Customers'!F:F)</f>
        <v>R04</v>
      </c>
      <c r="H214" t="str">
        <f>TEXT(Orders[[#This Row],[OrderDate]],"mmm")</f>
        <v>Aug</v>
      </c>
      <c r="I214" s="2">
        <f>YEAR(Orders[[#This Row],[OrderDate]])</f>
        <v>2025</v>
      </c>
      <c r="J214" s="4">
        <f ca="1">Orders[[#This Row],[Quantity]]*Orders[[#This Row],[UnitPrice]]</f>
        <v>104.93</v>
      </c>
      <c r="K214" s="4" t="str">
        <f ca="1">_xlfn.XLOOKUP(Orders[[#This Row],[CustomerID]],'Customers'!A:A,'Customers'!B:B)</f>
        <v>Ella Lewis</v>
      </c>
      <c r="L214" s="4" t="str">
        <f ca="1">_xlfn.XLOOKUP(Orders[[#This Row],[ProductID]],Products!A:A,Products!B:B)</f>
        <v>Extension Cable</v>
      </c>
      <c r="M214" s="4" t="str">
        <f ca="1">_xlfn.XLOOKUP(Orders[[#This Row],[ProductID]],Products!A:A,Products!C:C)</f>
        <v>Electronics</v>
      </c>
      <c r="N214" s="4" t="str">
        <f ca="1">_xlfn.XLOOKUP(Orders[[#This Row],[RegionID]],'Regions'!A:A,'Regions'!B:B)</f>
        <v>Yorkshire</v>
      </c>
    </row>
    <row r="215" spans="1:14" x14ac:dyDescent="0.25">
      <c r="A215" s="3">
        <v>1214</v>
      </c>
      <c r="B215" s="1">
        <v>45884</v>
      </c>
      <c r="C215" t="str">
        <f t="shared" ca="1" si="6"/>
        <v>C004</v>
      </c>
      <c r="D215" t="str">
        <f t="shared" ca="1" si="7"/>
        <v>P013</v>
      </c>
      <c r="E215" s="3">
        <f t="shared" ca="1" si="8"/>
        <v>6</v>
      </c>
      <c r="F215" s="4">
        <f ca="1">_xlfn.XLOOKUP(Orders[[#This Row],[ProductID]],Products!A:A,Products!D:D)</f>
        <v>129.99</v>
      </c>
      <c r="G215" t="str">
        <f ca="1">_xlfn.XLOOKUP(Orders[[#This Row],[CustomerID]],'Customers'!A:A,'Customers'!F:F)</f>
        <v>R04</v>
      </c>
      <c r="H215" t="str">
        <f>TEXT(Orders[[#This Row],[OrderDate]],"mmm")</f>
        <v>Aug</v>
      </c>
      <c r="I215" s="2">
        <f>YEAR(Orders[[#This Row],[OrderDate]])</f>
        <v>2025</v>
      </c>
      <c r="J215" s="4">
        <f ca="1">Orders[[#This Row],[Quantity]]*Orders[[#This Row],[UnitPrice]]</f>
        <v>779.94</v>
      </c>
      <c r="K215" s="4" t="str">
        <f ca="1">_xlfn.XLOOKUP(Orders[[#This Row],[CustomerID]],'Customers'!A:A,'Customers'!B:B)</f>
        <v>Sophia Williams</v>
      </c>
      <c r="L215" s="4" t="str">
        <f ca="1">_xlfn.XLOOKUP(Orders[[#This Row],[ProductID]],Products!A:A,Products!B:B)</f>
        <v>Printer</v>
      </c>
      <c r="M215" s="4" t="str">
        <f ca="1">_xlfn.XLOOKUP(Orders[[#This Row],[ProductID]],Products!A:A,Products!C:C)</f>
        <v>Electronics</v>
      </c>
      <c r="N215" s="4" t="str">
        <f ca="1">_xlfn.XLOOKUP(Orders[[#This Row],[RegionID]],'Regions'!A:A,'Regions'!B:B)</f>
        <v>Yorkshire</v>
      </c>
    </row>
    <row r="216" spans="1:14" x14ac:dyDescent="0.25">
      <c r="A216" s="3">
        <v>1215</v>
      </c>
      <c r="B216" s="1">
        <v>45887</v>
      </c>
      <c r="C216" t="str">
        <f t="shared" ca="1" si="6"/>
        <v>C007</v>
      </c>
      <c r="D216" t="str">
        <f t="shared" ca="1" si="7"/>
        <v>P001</v>
      </c>
      <c r="E216" s="3">
        <f t="shared" ca="1" si="8"/>
        <v>3</v>
      </c>
      <c r="F216" s="4">
        <f ca="1">_xlfn.XLOOKUP(Orders[[#This Row],[ProductID]],Products!A:A,Products!D:D)</f>
        <v>25.99</v>
      </c>
      <c r="G216" t="str">
        <f ca="1">_xlfn.XLOOKUP(Orders[[#This Row],[CustomerID]],'Customers'!A:A,'Customers'!F:F)</f>
        <v>R05</v>
      </c>
      <c r="H216" t="str">
        <f>TEXT(Orders[[#This Row],[OrderDate]],"mmm")</f>
        <v>Aug</v>
      </c>
      <c r="I216" s="2">
        <f>YEAR(Orders[[#This Row],[OrderDate]])</f>
        <v>2025</v>
      </c>
      <c r="J216" s="4">
        <f ca="1">Orders[[#This Row],[Quantity]]*Orders[[#This Row],[UnitPrice]]</f>
        <v>77.97</v>
      </c>
      <c r="K216" s="4" t="str">
        <f ca="1">_xlfn.XLOOKUP(Orders[[#This Row],[CustomerID]],'Customers'!A:A,'Customers'!B:B)</f>
        <v>Jack Davies</v>
      </c>
      <c r="L216" s="4" t="str">
        <f ca="1">_xlfn.XLOOKUP(Orders[[#This Row],[ProductID]],Products!A:A,Products!B:B)</f>
        <v>Wireless Mouse</v>
      </c>
      <c r="M216" s="4" t="str">
        <f ca="1">_xlfn.XLOOKUP(Orders[[#This Row],[ProductID]],Products!A:A,Products!C:C)</f>
        <v>Electronics</v>
      </c>
      <c r="N216" s="4" t="str">
        <f ca="1">_xlfn.XLOOKUP(Orders[[#This Row],[RegionID]],'Regions'!A:A,'Regions'!B:B)</f>
        <v>Scotland</v>
      </c>
    </row>
    <row r="217" spans="1:14" x14ac:dyDescent="0.25">
      <c r="A217" s="3">
        <v>1216</v>
      </c>
      <c r="B217" s="1">
        <v>45888</v>
      </c>
      <c r="C217" t="str">
        <f t="shared" ca="1" si="6"/>
        <v>C023</v>
      </c>
      <c r="D217" t="str">
        <f t="shared" ca="1" si="7"/>
        <v>P009</v>
      </c>
      <c r="E217" s="3">
        <f t="shared" ca="1" si="8"/>
        <v>10</v>
      </c>
      <c r="F217" s="4">
        <f ca="1">_xlfn.XLOOKUP(Orders[[#This Row],[ProductID]],Products!A:A,Products!D:D)</f>
        <v>12.99</v>
      </c>
      <c r="G217" t="str">
        <f ca="1">_xlfn.XLOOKUP(Orders[[#This Row],[CustomerID]],'Customers'!A:A,'Customers'!F:F)</f>
        <v>R03</v>
      </c>
      <c r="H217" t="str">
        <f>TEXT(Orders[[#This Row],[OrderDate]],"mmm")</f>
        <v>Aug</v>
      </c>
      <c r="I217" s="2">
        <f>YEAR(Orders[[#This Row],[OrderDate]])</f>
        <v>2025</v>
      </c>
      <c r="J217" s="4">
        <f ca="1">Orders[[#This Row],[Quantity]]*Orders[[#This Row],[UnitPrice]]</f>
        <v>129.9</v>
      </c>
      <c r="K217" s="4" t="str">
        <f ca="1">_xlfn.XLOOKUP(Orders[[#This Row],[CustomerID]],'Customers'!A:A,'Customers'!B:B)</f>
        <v>Arthur Hall</v>
      </c>
      <c r="L217" s="4" t="str">
        <f ca="1">_xlfn.XLOOKUP(Orders[[#This Row],[ProductID]],Products!A:A,Products!B:B)</f>
        <v>Water Bottle</v>
      </c>
      <c r="M217" s="4" t="str">
        <f ca="1">_xlfn.XLOOKUP(Orders[[#This Row],[ProductID]],Products!A:A,Products!C:C)</f>
        <v>Home</v>
      </c>
      <c r="N217" s="4" t="str">
        <f ca="1">_xlfn.XLOOKUP(Orders[[#This Row],[RegionID]],'Regions'!A:A,'Regions'!B:B)</f>
        <v>Midlands</v>
      </c>
    </row>
    <row r="218" spans="1:14" x14ac:dyDescent="0.25">
      <c r="A218" s="3">
        <v>1217</v>
      </c>
      <c r="B218" s="1">
        <v>45889</v>
      </c>
      <c r="C218" t="str">
        <f t="shared" ca="1" si="6"/>
        <v>C017</v>
      </c>
      <c r="D218" t="str">
        <f t="shared" ca="1" si="7"/>
        <v>P019</v>
      </c>
      <c r="E218" s="3">
        <f t="shared" ca="1" si="8"/>
        <v>4</v>
      </c>
      <c r="F218" s="4">
        <f ca="1">_xlfn.XLOOKUP(Orders[[#This Row],[ProductID]],Products!A:A,Products!D:D)</f>
        <v>59.99</v>
      </c>
      <c r="G218" t="str">
        <f ca="1">_xlfn.XLOOKUP(Orders[[#This Row],[CustomerID]],'Customers'!A:A,'Customers'!F:F)</f>
        <v>R03</v>
      </c>
      <c r="H218" t="str">
        <f>TEXT(Orders[[#This Row],[OrderDate]],"mmm")</f>
        <v>Aug</v>
      </c>
      <c r="I218" s="2">
        <f>YEAR(Orders[[#This Row],[OrderDate]])</f>
        <v>2025</v>
      </c>
      <c r="J218" s="4">
        <f ca="1">Orders[[#This Row],[Quantity]]*Orders[[#This Row],[UnitPrice]]</f>
        <v>239.96</v>
      </c>
      <c r="K218" s="4" t="str">
        <f ca="1">_xlfn.XLOOKUP(Orders[[#This Row],[CustomerID]],'Customers'!A:A,'Customers'!B:B)</f>
        <v>Leo Robinson</v>
      </c>
      <c r="L218" s="4" t="str">
        <f ca="1">_xlfn.XLOOKUP(Orders[[#This Row],[ProductID]],Products!A:A,Products!B:B)</f>
        <v>Webcam</v>
      </c>
      <c r="M218" s="4" t="str">
        <f ca="1">_xlfn.XLOOKUP(Orders[[#This Row],[ProductID]],Products!A:A,Products!C:C)</f>
        <v>Electronics</v>
      </c>
      <c r="N218" s="4" t="str">
        <f ca="1">_xlfn.XLOOKUP(Orders[[#This Row],[RegionID]],'Regions'!A:A,'Regions'!B:B)</f>
        <v>Midlands</v>
      </c>
    </row>
    <row r="219" spans="1:14" x14ac:dyDescent="0.25">
      <c r="A219" s="3">
        <v>1218</v>
      </c>
      <c r="B219" s="1">
        <v>45890</v>
      </c>
      <c r="C219" t="str">
        <f t="shared" ca="1" si="6"/>
        <v>C001</v>
      </c>
      <c r="D219" t="str">
        <f t="shared" ca="1" si="7"/>
        <v>P011</v>
      </c>
      <c r="E219" s="3">
        <f t="shared" ca="1" si="8"/>
        <v>10</v>
      </c>
      <c r="F219" s="4">
        <f ca="1">_xlfn.XLOOKUP(Orders[[#This Row],[ProductID]],Products!A:A,Products!D:D)</f>
        <v>5.99</v>
      </c>
      <c r="G219" t="str">
        <f ca="1">_xlfn.XLOOKUP(Orders[[#This Row],[CustomerID]],'Customers'!A:A,'Customers'!F:F)</f>
        <v>R01</v>
      </c>
      <c r="H219" t="str">
        <f>TEXT(Orders[[#This Row],[OrderDate]],"mmm")</f>
        <v>Aug</v>
      </c>
      <c r="I219" s="2">
        <f>YEAR(Orders[[#This Row],[OrderDate]])</f>
        <v>2025</v>
      </c>
      <c r="J219" s="4">
        <f ca="1">Orders[[#This Row],[Quantity]]*Orders[[#This Row],[UnitPrice]]</f>
        <v>59.900000000000006</v>
      </c>
      <c r="K219" s="4" t="str">
        <f ca="1">_xlfn.XLOOKUP(Orders[[#This Row],[CustomerID]],'Customers'!A:A,'Customers'!B:B)</f>
        <v>James Smith</v>
      </c>
      <c r="L219" s="4" t="str">
        <f ca="1">_xlfn.XLOOKUP(Orders[[#This Row],[ProductID]],Products!A:A,Products!B:B)</f>
        <v>Pen Set</v>
      </c>
      <c r="M219" s="4" t="str">
        <f ca="1">_xlfn.XLOOKUP(Orders[[#This Row],[ProductID]],Products!A:A,Products!C:C)</f>
        <v>Stationery</v>
      </c>
      <c r="N219" s="4" t="str">
        <f ca="1">_xlfn.XLOOKUP(Orders[[#This Row],[RegionID]],'Regions'!A:A,'Regions'!B:B)</f>
        <v>London</v>
      </c>
    </row>
    <row r="220" spans="1:14" x14ac:dyDescent="0.25">
      <c r="A220" s="3">
        <v>1219</v>
      </c>
      <c r="B220" s="1">
        <v>45891</v>
      </c>
      <c r="C220" t="str">
        <f t="shared" ca="1" si="6"/>
        <v>C024</v>
      </c>
      <c r="D220" t="str">
        <f t="shared" ca="1" si="7"/>
        <v>P012</v>
      </c>
      <c r="E220" s="3">
        <f t="shared" ca="1" si="8"/>
        <v>9</v>
      </c>
      <c r="F220" s="4">
        <f ca="1">_xlfn.XLOOKUP(Orders[[#This Row],[ProductID]],Products!A:A,Products!D:D)</f>
        <v>299.99</v>
      </c>
      <c r="G220" t="str">
        <f ca="1">_xlfn.XLOOKUP(Orders[[#This Row],[CustomerID]],'Customers'!A:A,'Customers'!F:F)</f>
        <v>R01</v>
      </c>
      <c r="H220" t="str">
        <f>TEXT(Orders[[#This Row],[OrderDate]],"mmm")</f>
        <v>Aug</v>
      </c>
      <c r="I220" s="2">
        <f>YEAR(Orders[[#This Row],[OrderDate]])</f>
        <v>2025</v>
      </c>
      <c r="J220" s="4">
        <f ca="1">Orders[[#This Row],[Quantity]]*Orders[[#This Row],[UnitPrice]]</f>
        <v>2699.91</v>
      </c>
      <c r="K220" s="4" t="str">
        <f ca="1">_xlfn.XLOOKUP(Orders[[#This Row],[CustomerID]],'Customers'!A:A,'Customers'!B:B)</f>
        <v>Isabella Allen</v>
      </c>
      <c r="L220" s="4" t="str">
        <f ca="1">_xlfn.XLOOKUP(Orders[[#This Row],[ProductID]],Products!A:A,Products!B:B)</f>
        <v>Tablet</v>
      </c>
      <c r="M220" s="4" t="str">
        <f ca="1">_xlfn.XLOOKUP(Orders[[#This Row],[ProductID]],Products!A:A,Products!C:C)</f>
        <v>Electronics</v>
      </c>
      <c r="N220" s="4" t="str">
        <f ca="1">_xlfn.XLOOKUP(Orders[[#This Row],[RegionID]],'Regions'!A:A,'Regions'!B:B)</f>
        <v>London</v>
      </c>
    </row>
    <row r="221" spans="1:14" x14ac:dyDescent="0.25">
      <c r="A221" s="3">
        <v>1220</v>
      </c>
      <c r="B221" s="1">
        <v>45894</v>
      </c>
      <c r="C221" t="str">
        <f t="shared" ca="1" si="6"/>
        <v>C025</v>
      </c>
      <c r="D221" t="str">
        <f t="shared" ca="1" si="7"/>
        <v>P013</v>
      </c>
      <c r="E221" s="3">
        <f t="shared" ca="1" si="8"/>
        <v>5</v>
      </c>
      <c r="F221" s="4">
        <f ca="1">_xlfn.XLOOKUP(Orders[[#This Row],[ProductID]],Products!A:A,Products!D:D)</f>
        <v>129.99</v>
      </c>
      <c r="G221" t="str">
        <f ca="1">_xlfn.XLOOKUP(Orders[[#This Row],[CustomerID]],'Customers'!A:A,'Customers'!F:F)</f>
        <v>R05</v>
      </c>
      <c r="H221" t="str">
        <f>TEXT(Orders[[#This Row],[OrderDate]],"mmm")</f>
        <v>Aug</v>
      </c>
      <c r="I221" s="2">
        <f>YEAR(Orders[[#This Row],[OrderDate]])</f>
        <v>2025</v>
      </c>
      <c r="J221" s="4">
        <f ca="1">Orders[[#This Row],[Quantity]]*Orders[[#This Row],[UnitPrice]]</f>
        <v>649.95000000000005</v>
      </c>
      <c r="K221" s="4" t="str">
        <f ca="1">_xlfn.XLOOKUP(Orders[[#This Row],[CustomerID]],'Customers'!A:A,'Customers'!B:B)</f>
        <v>Theo Young</v>
      </c>
      <c r="L221" s="4" t="str">
        <f ca="1">_xlfn.XLOOKUP(Orders[[#This Row],[ProductID]],Products!A:A,Products!B:B)</f>
        <v>Printer</v>
      </c>
      <c r="M221" s="4" t="str">
        <f ca="1">_xlfn.XLOOKUP(Orders[[#This Row],[ProductID]],Products!A:A,Products!C:C)</f>
        <v>Electronics</v>
      </c>
      <c r="N221" s="4" t="str">
        <f ca="1">_xlfn.XLOOKUP(Orders[[#This Row],[RegionID]],'Regions'!A:A,'Regions'!B:B)</f>
        <v>Scotland</v>
      </c>
    </row>
    <row r="222" spans="1:14" x14ac:dyDescent="0.25">
      <c r="A222" s="3">
        <v>1221</v>
      </c>
      <c r="B222" s="1">
        <v>45895</v>
      </c>
      <c r="C222" t="str">
        <f t="shared" ca="1" si="6"/>
        <v>C007</v>
      </c>
      <c r="D222" t="str">
        <f t="shared" ca="1" si="7"/>
        <v>P008</v>
      </c>
      <c r="E222" s="3">
        <f t="shared" ca="1" si="8"/>
        <v>4</v>
      </c>
      <c r="F222" s="4">
        <f ca="1">_xlfn.XLOOKUP(Orders[[#This Row],[ProductID]],Products!A:A,Products!D:D)</f>
        <v>149.99</v>
      </c>
      <c r="G222" t="str">
        <f ca="1">_xlfn.XLOOKUP(Orders[[#This Row],[CustomerID]],'Customers'!A:A,'Customers'!F:F)</f>
        <v>R05</v>
      </c>
      <c r="H222" t="str">
        <f>TEXT(Orders[[#This Row],[OrderDate]],"mmm")</f>
        <v>Aug</v>
      </c>
      <c r="I222" s="2">
        <f>YEAR(Orders[[#This Row],[OrderDate]])</f>
        <v>2025</v>
      </c>
      <c r="J222" s="4">
        <f ca="1">Orders[[#This Row],[Quantity]]*Orders[[#This Row],[UnitPrice]]</f>
        <v>599.96</v>
      </c>
      <c r="K222" s="4" t="str">
        <f ca="1">_xlfn.XLOOKUP(Orders[[#This Row],[CustomerID]],'Customers'!A:A,'Customers'!B:B)</f>
        <v>Jack Davies</v>
      </c>
      <c r="L222" s="4" t="str">
        <f ca="1">_xlfn.XLOOKUP(Orders[[#This Row],[ProductID]],Products!A:A,Products!B:B)</f>
        <v>Monitor 24 inch</v>
      </c>
      <c r="M222" s="4" t="str">
        <f ca="1">_xlfn.XLOOKUP(Orders[[#This Row],[ProductID]],Products!A:A,Products!C:C)</f>
        <v>Electronics</v>
      </c>
      <c r="N222" s="4" t="str">
        <f ca="1">_xlfn.XLOOKUP(Orders[[#This Row],[RegionID]],'Regions'!A:A,'Regions'!B:B)</f>
        <v>Scotland</v>
      </c>
    </row>
    <row r="223" spans="1:14" x14ac:dyDescent="0.25">
      <c r="A223" s="3">
        <v>1222</v>
      </c>
      <c r="B223" s="1">
        <v>45896</v>
      </c>
      <c r="C223" t="str">
        <f t="shared" ca="1" si="6"/>
        <v>C018</v>
      </c>
      <c r="D223" t="str">
        <f t="shared" ca="1" si="7"/>
        <v>P014</v>
      </c>
      <c r="E223" s="3">
        <f t="shared" ca="1" si="8"/>
        <v>6</v>
      </c>
      <c r="F223" s="4">
        <f ca="1">_xlfn.XLOOKUP(Orders[[#This Row],[ProductID]],Products!A:A,Products!D:D)</f>
        <v>19.989999999999998</v>
      </c>
      <c r="G223" t="str">
        <f ca="1">_xlfn.XLOOKUP(Orders[[#This Row],[CustomerID]],'Customers'!A:A,'Customers'!F:F)</f>
        <v>R02</v>
      </c>
      <c r="H223" t="str">
        <f>TEXT(Orders[[#This Row],[OrderDate]],"mmm")</f>
        <v>Aug</v>
      </c>
      <c r="I223" s="2">
        <f>YEAR(Orders[[#This Row],[OrderDate]])</f>
        <v>2025</v>
      </c>
      <c r="J223" s="4">
        <f ca="1">Orders[[#This Row],[Quantity]]*Orders[[#This Row],[UnitPrice]]</f>
        <v>119.94</v>
      </c>
      <c r="K223" s="4" t="str">
        <f ca="1">_xlfn.XLOOKUP(Orders[[#This Row],[CustomerID]],'Customers'!A:A,'Customers'!B:B)</f>
        <v>Chloe Clark</v>
      </c>
      <c r="L223" s="4" t="str">
        <f ca="1">_xlfn.XLOOKUP(Orders[[#This Row],[ProductID]],Products!A:A,Products!B:B)</f>
        <v>Desk Organizer</v>
      </c>
      <c r="M223" s="4" t="str">
        <f ca="1">_xlfn.XLOOKUP(Orders[[#This Row],[ProductID]],Products!A:A,Products!C:C)</f>
        <v>Office Supplies</v>
      </c>
      <c r="N223" s="4" t="str">
        <f ca="1">_xlfn.XLOOKUP(Orders[[#This Row],[RegionID]],'Regions'!A:A,'Regions'!B:B)</f>
        <v>North West</v>
      </c>
    </row>
    <row r="224" spans="1:14" x14ac:dyDescent="0.25">
      <c r="A224" s="3">
        <v>1223</v>
      </c>
      <c r="B224" s="1">
        <v>45897</v>
      </c>
      <c r="C224" t="str">
        <f t="shared" ca="1" si="6"/>
        <v>C029</v>
      </c>
      <c r="D224" t="str">
        <f t="shared" ca="1" si="7"/>
        <v>P019</v>
      </c>
      <c r="E224" s="3">
        <f t="shared" ca="1" si="8"/>
        <v>5</v>
      </c>
      <c r="F224" s="4">
        <f ca="1">_xlfn.XLOOKUP(Orders[[#This Row],[ProductID]],Products!A:A,Products!D:D)</f>
        <v>59.99</v>
      </c>
      <c r="G224" t="str">
        <f ca="1">_xlfn.XLOOKUP(Orders[[#This Row],[CustomerID]],'Customers'!A:A,'Customers'!F:F)</f>
        <v>R04</v>
      </c>
      <c r="H224" t="str">
        <f>TEXT(Orders[[#This Row],[OrderDate]],"mmm")</f>
        <v>Aug</v>
      </c>
      <c r="I224" s="2">
        <f>YEAR(Orders[[#This Row],[OrderDate]])</f>
        <v>2025</v>
      </c>
      <c r="J224" s="4">
        <f ca="1">Orders[[#This Row],[Quantity]]*Orders[[#This Row],[UnitPrice]]</f>
        <v>299.95</v>
      </c>
      <c r="K224" s="4" t="str">
        <f ca="1">_xlfn.XLOOKUP(Orders[[#This Row],[CustomerID]],'Customers'!A:A,'Customers'!B:B)</f>
        <v>Jacob Green</v>
      </c>
      <c r="L224" s="4" t="str">
        <f ca="1">_xlfn.XLOOKUP(Orders[[#This Row],[ProductID]],Products!A:A,Products!B:B)</f>
        <v>Webcam</v>
      </c>
      <c r="M224" s="4" t="str">
        <f ca="1">_xlfn.XLOOKUP(Orders[[#This Row],[ProductID]],Products!A:A,Products!C:C)</f>
        <v>Electronics</v>
      </c>
      <c r="N224" s="4" t="str">
        <f ca="1">_xlfn.XLOOKUP(Orders[[#This Row],[RegionID]],'Regions'!A:A,'Regions'!B:B)</f>
        <v>Yorkshire</v>
      </c>
    </row>
    <row r="225" spans="1:14" x14ac:dyDescent="0.25">
      <c r="A225" s="3">
        <v>1224</v>
      </c>
      <c r="B225" s="1">
        <v>45898</v>
      </c>
      <c r="C225" t="str">
        <f t="shared" ca="1" si="6"/>
        <v>C013</v>
      </c>
      <c r="D225" t="str">
        <f t="shared" ca="1" si="7"/>
        <v>P008</v>
      </c>
      <c r="E225" s="3">
        <f t="shared" ca="1" si="8"/>
        <v>3</v>
      </c>
      <c r="F225" s="4">
        <f ca="1">_xlfn.XLOOKUP(Orders[[#This Row],[ProductID]],Products!A:A,Products!D:D)</f>
        <v>149.99</v>
      </c>
      <c r="G225" t="str">
        <f ca="1">_xlfn.XLOOKUP(Orders[[#This Row],[CustomerID]],'Customers'!A:A,'Customers'!F:F)</f>
        <v>R02</v>
      </c>
      <c r="H225" t="str">
        <f>TEXT(Orders[[#This Row],[OrderDate]],"mmm")</f>
        <v>Aug</v>
      </c>
      <c r="I225" s="2">
        <f>YEAR(Orders[[#This Row],[OrderDate]])</f>
        <v>2025</v>
      </c>
      <c r="J225" s="4">
        <f ca="1">Orders[[#This Row],[Quantity]]*Orders[[#This Row],[UnitPrice]]</f>
        <v>449.97</v>
      </c>
      <c r="K225" s="4" t="str">
        <f ca="1">_xlfn.XLOOKUP(Orders[[#This Row],[CustomerID]],'Customers'!A:A,'Customers'!B:B)</f>
        <v>Noah Martin</v>
      </c>
      <c r="L225" s="4" t="str">
        <f ca="1">_xlfn.XLOOKUP(Orders[[#This Row],[ProductID]],Products!A:A,Products!B:B)</f>
        <v>Monitor 24 inch</v>
      </c>
      <c r="M225" s="4" t="str">
        <f ca="1">_xlfn.XLOOKUP(Orders[[#This Row],[ProductID]],Products!A:A,Products!C:C)</f>
        <v>Electronics</v>
      </c>
      <c r="N225" s="4" t="str">
        <f ca="1">_xlfn.XLOOKUP(Orders[[#This Row],[RegionID]],'Regions'!A:A,'Regions'!B:B)</f>
        <v>North West</v>
      </c>
    </row>
    <row r="226" spans="1:14" x14ac:dyDescent="0.25">
      <c r="A226" s="3">
        <v>1225</v>
      </c>
      <c r="B226" s="1">
        <v>45901</v>
      </c>
      <c r="C226" t="str">
        <f t="shared" ca="1" si="6"/>
        <v>C021</v>
      </c>
      <c r="D226" t="str">
        <f t="shared" ca="1" si="7"/>
        <v>P013</v>
      </c>
      <c r="E226" s="3">
        <f t="shared" ca="1" si="8"/>
        <v>5</v>
      </c>
      <c r="F226" s="4">
        <f ca="1">_xlfn.XLOOKUP(Orders[[#This Row],[ProductID]],Products!A:A,Products!D:D)</f>
        <v>129.99</v>
      </c>
      <c r="G226" t="str">
        <f ca="1">_xlfn.XLOOKUP(Orders[[#This Row],[CustomerID]],'Customers'!A:A,'Customers'!F:F)</f>
        <v>R04</v>
      </c>
      <c r="H226" t="str">
        <f>TEXT(Orders[[#This Row],[OrderDate]],"mmm")</f>
        <v>Sep</v>
      </c>
      <c r="I226" s="2">
        <f>YEAR(Orders[[#This Row],[OrderDate]])</f>
        <v>2025</v>
      </c>
      <c r="J226" s="4">
        <f ca="1">Orders[[#This Row],[Quantity]]*Orders[[#This Row],[UnitPrice]]</f>
        <v>649.95000000000005</v>
      </c>
      <c r="K226" s="4" t="str">
        <f ca="1">_xlfn.XLOOKUP(Orders[[#This Row],[CustomerID]],'Customers'!A:A,'Customers'!B:B)</f>
        <v>Alfie Lee</v>
      </c>
      <c r="L226" s="4" t="str">
        <f ca="1">_xlfn.XLOOKUP(Orders[[#This Row],[ProductID]],Products!A:A,Products!B:B)</f>
        <v>Printer</v>
      </c>
      <c r="M226" s="4" t="str">
        <f ca="1">_xlfn.XLOOKUP(Orders[[#This Row],[ProductID]],Products!A:A,Products!C:C)</f>
        <v>Electronics</v>
      </c>
      <c r="N226" s="4" t="str">
        <f ca="1">_xlfn.XLOOKUP(Orders[[#This Row],[RegionID]],'Regions'!A:A,'Regions'!B:B)</f>
        <v>Yorkshire</v>
      </c>
    </row>
    <row r="227" spans="1:14" x14ac:dyDescent="0.25">
      <c r="A227" s="3">
        <v>1226</v>
      </c>
      <c r="B227" s="1">
        <v>45902</v>
      </c>
      <c r="C227" t="str">
        <f t="shared" ca="1" si="6"/>
        <v>C007</v>
      </c>
      <c r="D227" t="str">
        <f t="shared" ca="1" si="7"/>
        <v>P008</v>
      </c>
      <c r="E227" s="3">
        <f t="shared" ca="1" si="8"/>
        <v>4</v>
      </c>
      <c r="F227" s="4">
        <f ca="1">_xlfn.XLOOKUP(Orders[[#This Row],[ProductID]],Products!A:A,Products!D:D)</f>
        <v>149.99</v>
      </c>
      <c r="G227" t="str">
        <f ca="1">_xlfn.XLOOKUP(Orders[[#This Row],[CustomerID]],'Customers'!A:A,'Customers'!F:F)</f>
        <v>R05</v>
      </c>
      <c r="H227" t="str">
        <f>TEXT(Orders[[#This Row],[OrderDate]],"mmm")</f>
        <v>Sep</v>
      </c>
      <c r="I227" s="2">
        <f>YEAR(Orders[[#This Row],[OrderDate]])</f>
        <v>2025</v>
      </c>
      <c r="J227" s="4">
        <f ca="1">Orders[[#This Row],[Quantity]]*Orders[[#This Row],[UnitPrice]]</f>
        <v>599.96</v>
      </c>
      <c r="K227" s="4" t="str">
        <f ca="1">_xlfn.XLOOKUP(Orders[[#This Row],[CustomerID]],'Customers'!A:A,'Customers'!B:B)</f>
        <v>Jack Davies</v>
      </c>
      <c r="L227" s="4" t="str">
        <f ca="1">_xlfn.XLOOKUP(Orders[[#This Row],[ProductID]],Products!A:A,Products!B:B)</f>
        <v>Monitor 24 inch</v>
      </c>
      <c r="M227" s="4" t="str">
        <f ca="1">_xlfn.XLOOKUP(Orders[[#This Row],[ProductID]],Products!A:A,Products!C:C)</f>
        <v>Electronics</v>
      </c>
      <c r="N227" s="4" t="str">
        <f ca="1">_xlfn.XLOOKUP(Orders[[#This Row],[RegionID]],'Regions'!A:A,'Regions'!B:B)</f>
        <v>Scotland</v>
      </c>
    </row>
    <row r="228" spans="1:14" x14ac:dyDescent="0.25">
      <c r="A228" s="3">
        <v>1227</v>
      </c>
      <c r="B228" s="1">
        <v>45903</v>
      </c>
      <c r="C228" t="str">
        <f t="shared" ca="1" si="6"/>
        <v>C028</v>
      </c>
      <c r="D228" t="str">
        <f t="shared" ca="1" si="7"/>
        <v>P012</v>
      </c>
      <c r="E228" s="3">
        <f t="shared" ca="1" si="8"/>
        <v>4</v>
      </c>
      <c r="F228" s="4">
        <f ca="1">_xlfn.XLOOKUP(Orders[[#This Row],[ProductID]],Products!A:A,Products!D:D)</f>
        <v>299.99</v>
      </c>
      <c r="G228" t="str">
        <f ca="1">_xlfn.XLOOKUP(Orders[[#This Row],[CustomerID]],'Customers'!A:A,'Customers'!F:F)</f>
        <v>R02</v>
      </c>
      <c r="H228" t="str">
        <f>TEXT(Orders[[#This Row],[OrderDate]],"mmm")</f>
        <v>Sep</v>
      </c>
      <c r="I228" s="2">
        <f>YEAR(Orders[[#This Row],[OrderDate]])</f>
        <v>2025</v>
      </c>
      <c r="J228" s="4">
        <f ca="1">Orders[[#This Row],[Quantity]]*Orders[[#This Row],[UnitPrice]]</f>
        <v>1199.96</v>
      </c>
      <c r="K228" s="4" t="str">
        <f ca="1">_xlfn.XLOOKUP(Orders[[#This Row],[CustomerID]],'Customers'!A:A,'Customers'!B:B)</f>
        <v>Ruby Scott</v>
      </c>
      <c r="L228" s="4" t="str">
        <f ca="1">_xlfn.XLOOKUP(Orders[[#This Row],[ProductID]],Products!A:A,Products!B:B)</f>
        <v>Tablet</v>
      </c>
      <c r="M228" s="4" t="str">
        <f ca="1">_xlfn.XLOOKUP(Orders[[#This Row],[ProductID]],Products!A:A,Products!C:C)</f>
        <v>Electronics</v>
      </c>
      <c r="N228" s="4" t="str">
        <f ca="1">_xlfn.XLOOKUP(Orders[[#This Row],[RegionID]],'Regions'!A:A,'Regions'!B:B)</f>
        <v>North West</v>
      </c>
    </row>
    <row r="229" spans="1:14" x14ac:dyDescent="0.25">
      <c r="A229" s="3">
        <v>1228</v>
      </c>
      <c r="B229" s="1">
        <v>45904</v>
      </c>
      <c r="C229" t="str">
        <f t="shared" ca="1" si="6"/>
        <v>C018</v>
      </c>
      <c r="D229" t="str">
        <f t="shared" ca="1" si="7"/>
        <v>P009</v>
      </c>
      <c r="E229" s="3">
        <f t="shared" ca="1" si="8"/>
        <v>9</v>
      </c>
      <c r="F229" s="4">
        <f ca="1">_xlfn.XLOOKUP(Orders[[#This Row],[ProductID]],Products!A:A,Products!D:D)</f>
        <v>12.99</v>
      </c>
      <c r="G229" t="str">
        <f ca="1">_xlfn.XLOOKUP(Orders[[#This Row],[CustomerID]],'Customers'!A:A,'Customers'!F:F)</f>
        <v>R02</v>
      </c>
      <c r="H229" t="str">
        <f>TEXT(Orders[[#This Row],[OrderDate]],"mmm")</f>
        <v>Sep</v>
      </c>
      <c r="I229" s="2">
        <f>YEAR(Orders[[#This Row],[OrderDate]])</f>
        <v>2025</v>
      </c>
      <c r="J229" s="4">
        <f ca="1">Orders[[#This Row],[Quantity]]*Orders[[#This Row],[UnitPrice]]</f>
        <v>116.91</v>
      </c>
      <c r="K229" s="4" t="str">
        <f ca="1">_xlfn.XLOOKUP(Orders[[#This Row],[CustomerID]],'Customers'!A:A,'Customers'!B:B)</f>
        <v>Chloe Clark</v>
      </c>
      <c r="L229" s="4" t="str">
        <f ca="1">_xlfn.XLOOKUP(Orders[[#This Row],[ProductID]],Products!A:A,Products!B:B)</f>
        <v>Water Bottle</v>
      </c>
      <c r="M229" s="4" t="str">
        <f ca="1">_xlfn.XLOOKUP(Orders[[#This Row],[ProductID]],Products!A:A,Products!C:C)</f>
        <v>Home</v>
      </c>
      <c r="N229" s="4" t="str">
        <f ca="1">_xlfn.XLOOKUP(Orders[[#This Row],[RegionID]],'Regions'!A:A,'Regions'!B:B)</f>
        <v>North West</v>
      </c>
    </row>
    <row r="230" spans="1:14" x14ac:dyDescent="0.25">
      <c r="A230" s="3">
        <v>1229</v>
      </c>
      <c r="B230" s="1">
        <v>45905</v>
      </c>
      <c r="C230" t="str">
        <f t="shared" ca="1" si="6"/>
        <v>C016</v>
      </c>
      <c r="D230" t="str">
        <f t="shared" ca="1" si="7"/>
        <v>P001</v>
      </c>
      <c r="E230" s="3">
        <f t="shared" ca="1" si="8"/>
        <v>1</v>
      </c>
      <c r="F230" s="4">
        <f ca="1">_xlfn.XLOOKUP(Orders[[#This Row],[ProductID]],Products!A:A,Products!D:D)</f>
        <v>25.99</v>
      </c>
      <c r="G230" t="str">
        <f ca="1">_xlfn.XLOOKUP(Orders[[#This Row],[CustomerID]],'Customers'!A:A,'Customers'!F:F)</f>
        <v>R01</v>
      </c>
      <c r="H230" t="str">
        <f>TEXT(Orders[[#This Row],[OrderDate]],"mmm")</f>
        <v>Sep</v>
      </c>
      <c r="I230" s="2">
        <f>YEAR(Orders[[#This Row],[OrderDate]])</f>
        <v>2025</v>
      </c>
      <c r="J230" s="4">
        <f ca="1">Orders[[#This Row],[Quantity]]*Orders[[#This Row],[UnitPrice]]</f>
        <v>25.99</v>
      </c>
      <c r="K230" s="4" t="str">
        <f ca="1">_xlfn.XLOOKUP(Orders[[#This Row],[CustomerID]],'Customers'!A:A,'Customers'!B:B)</f>
        <v>Grace Martinez</v>
      </c>
      <c r="L230" s="4" t="str">
        <f ca="1">_xlfn.XLOOKUP(Orders[[#This Row],[ProductID]],Products!A:A,Products!B:B)</f>
        <v>Wireless Mouse</v>
      </c>
      <c r="M230" s="4" t="str">
        <f ca="1">_xlfn.XLOOKUP(Orders[[#This Row],[ProductID]],Products!A:A,Products!C:C)</f>
        <v>Electronics</v>
      </c>
      <c r="N230" s="4" t="str">
        <f ca="1">_xlfn.XLOOKUP(Orders[[#This Row],[RegionID]],'Regions'!A:A,'Regions'!B:B)</f>
        <v>London</v>
      </c>
    </row>
    <row r="231" spans="1:14" x14ac:dyDescent="0.25">
      <c r="A231" s="3">
        <v>1230</v>
      </c>
      <c r="B231" s="1">
        <v>45908</v>
      </c>
      <c r="C231" t="str">
        <f t="shared" ca="1" si="6"/>
        <v>C026</v>
      </c>
      <c r="D231" t="str">
        <f t="shared" ca="1" si="7"/>
        <v>P002</v>
      </c>
      <c r="E231" s="3">
        <f t="shared" ca="1" si="8"/>
        <v>4</v>
      </c>
      <c r="F231" s="4">
        <f ca="1">_xlfn.XLOOKUP(Orders[[#This Row],[ProductID]],Products!A:A,Products!D:D)</f>
        <v>15.5</v>
      </c>
      <c r="G231" t="str">
        <f ca="1">_xlfn.XLOOKUP(Orders[[#This Row],[CustomerID]],'Customers'!A:A,'Customers'!F:F)</f>
        <v>R05</v>
      </c>
      <c r="H231" t="str">
        <f>TEXT(Orders[[#This Row],[OrderDate]],"mmm")</f>
        <v>Sep</v>
      </c>
      <c r="I231" s="2">
        <f>YEAR(Orders[[#This Row],[OrderDate]])</f>
        <v>2025</v>
      </c>
      <c r="J231" s="4">
        <f ca="1">Orders[[#This Row],[Quantity]]*Orders[[#This Row],[UnitPrice]]</f>
        <v>62</v>
      </c>
      <c r="K231" s="4" t="str">
        <f ca="1">_xlfn.XLOOKUP(Orders[[#This Row],[CustomerID]],'Customers'!A:A,'Customers'!B:B)</f>
        <v>Poppy King</v>
      </c>
      <c r="L231" s="4" t="str">
        <f ca="1">_xlfn.XLOOKUP(Orders[[#This Row],[ProductID]],Products!A:A,Products!B:B)</f>
        <v>Notebook</v>
      </c>
      <c r="M231" s="4" t="str">
        <f ca="1">_xlfn.XLOOKUP(Orders[[#This Row],[ProductID]],Products!A:A,Products!C:C)</f>
        <v>Stationery</v>
      </c>
      <c r="N231" s="4" t="str">
        <f ca="1">_xlfn.XLOOKUP(Orders[[#This Row],[RegionID]],'Regions'!A:A,'Regions'!B:B)</f>
        <v>Scotland</v>
      </c>
    </row>
    <row r="232" spans="1:14" x14ac:dyDescent="0.25">
      <c r="A232" s="3">
        <v>1231</v>
      </c>
      <c r="B232" s="1">
        <v>45909</v>
      </c>
      <c r="C232" t="str">
        <f t="shared" ca="1" si="6"/>
        <v>C002</v>
      </c>
      <c r="D232" t="str">
        <f t="shared" ca="1" si="7"/>
        <v>P018</v>
      </c>
      <c r="E232" s="3">
        <f t="shared" ca="1" si="8"/>
        <v>8</v>
      </c>
      <c r="F232" s="4">
        <f ca="1">_xlfn.XLOOKUP(Orders[[#This Row],[ProductID]],Products!A:A,Products!D:D)</f>
        <v>29.99</v>
      </c>
      <c r="G232" t="str">
        <f ca="1">_xlfn.XLOOKUP(Orders[[#This Row],[CustomerID]],'Customers'!A:A,'Customers'!F:F)</f>
        <v>R02</v>
      </c>
      <c r="H232" t="str">
        <f>TEXT(Orders[[#This Row],[OrderDate]],"mmm")</f>
        <v>Sep</v>
      </c>
      <c r="I232" s="2">
        <f>YEAR(Orders[[#This Row],[OrderDate]])</f>
        <v>2025</v>
      </c>
      <c r="J232" s="4">
        <f ca="1">Orders[[#This Row],[Quantity]]*Orders[[#This Row],[UnitPrice]]</f>
        <v>239.92</v>
      </c>
      <c r="K232" s="4" t="str">
        <f ca="1">_xlfn.XLOOKUP(Orders[[#This Row],[CustomerID]],'Customers'!A:A,'Customers'!B:B)</f>
        <v>Emily Johnson</v>
      </c>
      <c r="L232" s="4" t="str">
        <f ca="1">_xlfn.XLOOKUP(Orders[[#This Row],[ProductID]],Products!A:A,Products!B:B)</f>
        <v>Laptop Stand</v>
      </c>
      <c r="M232" s="4" t="str">
        <f ca="1">_xlfn.XLOOKUP(Orders[[#This Row],[ProductID]],Products!A:A,Products!C:C)</f>
        <v>Accessories</v>
      </c>
      <c r="N232" s="4" t="str">
        <f ca="1">_xlfn.XLOOKUP(Orders[[#This Row],[RegionID]],'Regions'!A:A,'Regions'!B:B)</f>
        <v>North West</v>
      </c>
    </row>
    <row r="233" spans="1:14" x14ac:dyDescent="0.25">
      <c r="A233" s="3">
        <v>1232</v>
      </c>
      <c r="B233" s="1">
        <v>45910</v>
      </c>
      <c r="C233" t="str">
        <f t="shared" ca="1" si="6"/>
        <v>C025</v>
      </c>
      <c r="D233" t="str">
        <f t="shared" ca="1" si="7"/>
        <v>P007</v>
      </c>
      <c r="E233" s="3">
        <f t="shared" ca="1" si="8"/>
        <v>7</v>
      </c>
      <c r="F233" s="4">
        <f ca="1">_xlfn.XLOOKUP(Orders[[#This Row],[ProductID]],Products!A:A,Products!D:D)</f>
        <v>45.99</v>
      </c>
      <c r="G233" t="str">
        <f ca="1">_xlfn.XLOOKUP(Orders[[#This Row],[CustomerID]],'Customers'!A:A,'Customers'!F:F)</f>
        <v>R05</v>
      </c>
      <c r="H233" t="str">
        <f>TEXT(Orders[[#This Row],[OrderDate]],"mmm")</f>
        <v>Sep</v>
      </c>
      <c r="I233" s="2">
        <f>YEAR(Orders[[#This Row],[OrderDate]])</f>
        <v>2025</v>
      </c>
      <c r="J233" s="4">
        <f ca="1">Orders[[#This Row],[Quantity]]*Orders[[#This Row],[UnitPrice]]</f>
        <v>321.93</v>
      </c>
      <c r="K233" s="4" t="str">
        <f ca="1">_xlfn.XLOOKUP(Orders[[#This Row],[CustomerID]],'Customers'!A:A,'Customers'!B:B)</f>
        <v>Theo Young</v>
      </c>
      <c r="L233" s="4" t="str">
        <f ca="1">_xlfn.XLOOKUP(Orders[[#This Row],[ProductID]],Products!A:A,Products!B:B)</f>
        <v>Bluetooth Keyboard</v>
      </c>
      <c r="M233" s="4" t="str">
        <f ca="1">_xlfn.XLOOKUP(Orders[[#This Row],[ProductID]],Products!A:A,Products!C:C)</f>
        <v>Electronics</v>
      </c>
      <c r="N233" s="4" t="str">
        <f ca="1">_xlfn.XLOOKUP(Orders[[#This Row],[RegionID]],'Regions'!A:A,'Regions'!B:B)</f>
        <v>Scotland</v>
      </c>
    </row>
    <row r="234" spans="1:14" x14ac:dyDescent="0.25">
      <c r="A234" s="3">
        <v>1233</v>
      </c>
      <c r="B234" s="1">
        <v>45911</v>
      </c>
      <c r="C234" t="str">
        <f t="shared" ca="1" si="6"/>
        <v>C001</v>
      </c>
      <c r="D234" t="str">
        <f t="shared" ca="1" si="7"/>
        <v>P015</v>
      </c>
      <c r="E234" s="3">
        <f t="shared" ca="1" si="8"/>
        <v>10</v>
      </c>
      <c r="F234" s="4">
        <f ca="1">_xlfn.XLOOKUP(Orders[[#This Row],[ProductID]],Products!A:A,Products!D:D)</f>
        <v>79.989999999999995</v>
      </c>
      <c r="G234" t="str">
        <f ca="1">_xlfn.XLOOKUP(Orders[[#This Row],[CustomerID]],'Customers'!A:A,'Customers'!F:F)</f>
        <v>R01</v>
      </c>
      <c r="H234" t="str">
        <f>TEXT(Orders[[#This Row],[OrderDate]],"mmm")</f>
        <v>Sep</v>
      </c>
      <c r="I234" s="2">
        <f>YEAR(Orders[[#This Row],[OrderDate]])</f>
        <v>2025</v>
      </c>
      <c r="J234" s="4">
        <f ca="1">Orders[[#This Row],[Quantity]]*Orders[[#This Row],[UnitPrice]]</f>
        <v>799.9</v>
      </c>
      <c r="K234" s="4" t="str">
        <f ca="1">_xlfn.XLOOKUP(Orders[[#This Row],[CustomerID]],'Customers'!A:A,'Customers'!B:B)</f>
        <v>James Smith</v>
      </c>
      <c r="L234" s="4" t="str">
        <f ca="1">_xlfn.XLOOKUP(Orders[[#This Row],[ProductID]],Products!A:A,Products!B:B)</f>
        <v>Headphones</v>
      </c>
      <c r="M234" s="4" t="str">
        <f ca="1">_xlfn.XLOOKUP(Orders[[#This Row],[ProductID]],Products!A:A,Products!C:C)</f>
        <v>Electronics</v>
      </c>
      <c r="N234" s="4" t="str">
        <f ca="1">_xlfn.XLOOKUP(Orders[[#This Row],[RegionID]],'Regions'!A:A,'Regions'!B:B)</f>
        <v>London</v>
      </c>
    </row>
    <row r="235" spans="1:14" x14ac:dyDescent="0.25">
      <c r="A235" s="3">
        <v>1234</v>
      </c>
      <c r="B235" s="1">
        <v>45912</v>
      </c>
      <c r="C235" t="str">
        <f t="shared" ca="1" si="6"/>
        <v>C016</v>
      </c>
      <c r="D235" t="str">
        <f t="shared" ca="1" si="7"/>
        <v>P016</v>
      </c>
      <c r="E235" s="3">
        <f t="shared" ca="1" si="8"/>
        <v>5</v>
      </c>
      <c r="F235" s="4">
        <f ca="1">_xlfn.XLOOKUP(Orders[[#This Row],[ProductID]],Products!A:A,Products!D:D)</f>
        <v>399.99</v>
      </c>
      <c r="G235" t="str">
        <f ca="1">_xlfn.XLOOKUP(Orders[[#This Row],[CustomerID]],'Customers'!A:A,'Customers'!F:F)</f>
        <v>R01</v>
      </c>
      <c r="H235" t="str">
        <f>TEXT(Orders[[#This Row],[OrderDate]],"mmm")</f>
        <v>Sep</v>
      </c>
      <c r="I235" s="2">
        <f>YEAR(Orders[[#This Row],[OrderDate]])</f>
        <v>2025</v>
      </c>
      <c r="J235" s="4">
        <f ca="1">Orders[[#This Row],[Quantity]]*Orders[[#This Row],[UnitPrice]]</f>
        <v>1999.95</v>
      </c>
      <c r="K235" s="4" t="str">
        <f ca="1">_xlfn.XLOOKUP(Orders[[#This Row],[CustomerID]],'Customers'!A:A,'Customers'!B:B)</f>
        <v>Grace Martinez</v>
      </c>
      <c r="L235" s="4" t="str">
        <f ca="1">_xlfn.XLOOKUP(Orders[[#This Row],[ProductID]],Products!A:A,Products!B:B)</f>
        <v>Standing Desk</v>
      </c>
      <c r="M235" s="4" t="str">
        <f ca="1">_xlfn.XLOOKUP(Orders[[#This Row],[ProductID]],Products!A:A,Products!C:C)</f>
        <v>Furniture</v>
      </c>
      <c r="N235" s="4" t="str">
        <f ca="1">_xlfn.XLOOKUP(Orders[[#This Row],[RegionID]],'Regions'!A:A,'Regions'!B:B)</f>
        <v>London</v>
      </c>
    </row>
    <row r="236" spans="1:14" x14ac:dyDescent="0.25">
      <c r="A236" s="3">
        <v>1235</v>
      </c>
      <c r="B236" s="1">
        <v>45915</v>
      </c>
      <c r="C236" t="str">
        <f t="shared" ca="1" si="6"/>
        <v>C001</v>
      </c>
      <c r="D236" t="str">
        <f t="shared" ca="1" si="7"/>
        <v>P009</v>
      </c>
      <c r="E236" s="3">
        <f t="shared" ca="1" si="8"/>
        <v>8</v>
      </c>
      <c r="F236" s="4">
        <f ca="1">_xlfn.XLOOKUP(Orders[[#This Row],[ProductID]],Products!A:A,Products!D:D)</f>
        <v>12.99</v>
      </c>
      <c r="G236" t="str">
        <f ca="1">_xlfn.XLOOKUP(Orders[[#This Row],[CustomerID]],'Customers'!A:A,'Customers'!F:F)</f>
        <v>R01</v>
      </c>
      <c r="H236" t="str">
        <f>TEXT(Orders[[#This Row],[OrderDate]],"mmm")</f>
        <v>Sep</v>
      </c>
      <c r="I236" s="2">
        <f>YEAR(Orders[[#This Row],[OrderDate]])</f>
        <v>2025</v>
      </c>
      <c r="J236" s="4">
        <f ca="1">Orders[[#This Row],[Quantity]]*Orders[[#This Row],[UnitPrice]]</f>
        <v>103.92</v>
      </c>
      <c r="K236" s="4" t="str">
        <f ca="1">_xlfn.XLOOKUP(Orders[[#This Row],[CustomerID]],'Customers'!A:A,'Customers'!B:B)</f>
        <v>James Smith</v>
      </c>
      <c r="L236" s="4" t="str">
        <f ca="1">_xlfn.XLOOKUP(Orders[[#This Row],[ProductID]],Products!A:A,Products!B:B)</f>
        <v>Water Bottle</v>
      </c>
      <c r="M236" s="4" t="str">
        <f ca="1">_xlfn.XLOOKUP(Orders[[#This Row],[ProductID]],Products!A:A,Products!C:C)</f>
        <v>Home</v>
      </c>
      <c r="N236" s="4" t="str">
        <f ca="1">_xlfn.XLOOKUP(Orders[[#This Row],[RegionID]],'Regions'!A:A,'Regions'!B:B)</f>
        <v>London</v>
      </c>
    </row>
    <row r="237" spans="1:14" x14ac:dyDescent="0.25">
      <c r="A237" s="3">
        <v>1236</v>
      </c>
      <c r="B237" s="1">
        <v>45916</v>
      </c>
      <c r="C237" t="str">
        <f t="shared" ca="1" si="6"/>
        <v>C023</v>
      </c>
      <c r="D237" t="str">
        <f t="shared" ca="1" si="7"/>
        <v>P001</v>
      </c>
      <c r="E237" s="3">
        <f t="shared" ca="1" si="8"/>
        <v>1</v>
      </c>
      <c r="F237" s="4">
        <f ca="1">_xlfn.XLOOKUP(Orders[[#This Row],[ProductID]],Products!A:A,Products!D:D)</f>
        <v>25.99</v>
      </c>
      <c r="G237" t="str">
        <f ca="1">_xlfn.XLOOKUP(Orders[[#This Row],[CustomerID]],'Customers'!A:A,'Customers'!F:F)</f>
        <v>R03</v>
      </c>
      <c r="H237" t="str">
        <f>TEXT(Orders[[#This Row],[OrderDate]],"mmm")</f>
        <v>Sep</v>
      </c>
      <c r="I237" s="2">
        <f>YEAR(Orders[[#This Row],[OrderDate]])</f>
        <v>2025</v>
      </c>
      <c r="J237" s="4">
        <f ca="1">Orders[[#This Row],[Quantity]]*Orders[[#This Row],[UnitPrice]]</f>
        <v>25.99</v>
      </c>
      <c r="K237" s="4" t="str">
        <f ca="1">_xlfn.XLOOKUP(Orders[[#This Row],[CustomerID]],'Customers'!A:A,'Customers'!B:B)</f>
        <v>Arthur Hall</v>
      </c>
      <c r="L237" s="4" t="str">
        <f ca="1">_xlfn.XLOOKUP(Orders[[#This Row],[ProductID]],Products!A:A,Products!B:B)</f>
        <v>Wireless Mouse</v>
      </c>
      <c r="M237" s="4" t="str">
        <f ca="1">_xlfn.XLOOKUP(Orders[[#This Row],[ProductID]],Products!A:A,Products!C:C)</f>
        <v>Electronics</v>
      </c>
      <c r="N237" s="4" t="str">
        <f ca="1">_xlfn.XLOOKUP(Orders[[#This Row],[RegionID]],'Regions'!A:A,'Regions'!B:B)</f>
        <v>Midlands</v>
      </c>
    </row>
    <row r="238" spans="1:14" x14ac:dyDescent="0.25">
      <c r="A238" s="3">
        <v>1237</v>
      </c>
      <c r="B238" s="1">
        <v>45917</v>
      </c>
      <c r="C238" t="str">
        <f t="shared" ca="1" si="6"/>
        <v>C016</v>
      </c>
      <c r="D238" t="str">
        <f t="shared" ca="1" si="7"/>
        <v>P010</v>
      </c>
      <c r="E238" s="3">
        <f t="shared" ca="1" si="8"/>
        <v>8</v>
      </c>
      <c r="F238" s="4">
        <f ca="1">_xlfn.XLOOKUP(Orders[[#This Row],[ProductID]],Products!A:A,Products!D:D)</f>
        <v>39.99</v>
      </c>
      <c r="G238" t="str">
        <f ca="1">_xlfn.XLOOKUP(Orders[[#This Row],[CustomerID]],'Customers'!A:A,'Customers'!F:F)</f>
        <v>R01</v>
      </c>
      <c r="H238" t="str">
        <f>TEXT(Orders[[#This Row],[OrderDate]],"mmm")</f>
        <v>Sep</v>
      </c>
      <c r="I238" s="2">
        <f>YEAR(Orders[[#This Row],[OrderDate]])</f>
        <v>2025</v>
      </c>
      <c r="J238" s="4">
        <f ca="1">Orders[[#This Row],[Quantity]]*Orders[[#This Row],[UnitPrice]]</f>
        <v>319.92</v>
      </c>
      <c r="K238" s="4" t="str">
        <f ca="1">_xlfn.XLOOKUP(Orders[[#This Row],[CustomerID]],'Customers'!A:A,'Customers'!B:B)</f>
        <v>Grace Martinez</v>
      </c>
      <c r="L238" s="4" t="str">
        <f ca="1">_xlfn.XLOOKUP(Orders[[#This Row],[ProductID]],Products!A:A,Products!B:B)</f>
        <v>Backpack</v>
      </c>
      <c r="M238" s="4" t="str">
        <f ca="1">_xlfn.XLOOKUP(Orders[[#This Row],[ProductID]],Products!A:A,Products!C:C)</f>
        <v>Accessories</v>
      </c>
      <c r="N238" s="4" t="str">
        <f ca="1">_xlfn.XLOOKUP(Orders[[#This Row],[RegionID]],'Regions'!A:A,'Regions'!B:B)</f>
        <v>London</v>
      </c>
    </row>
    <row r="239" spans="1:14" x14ac:dyDescent="0.25">
      <c r="A239" s="3">
        <v>1238</v>
      </c>
      <c r="B239" s="1">
        <v>45918</v>
      </c>
      <c r="C239" t="str">
        <f t="shared" ca="1" si="6"/>
        <v>C009</v>
      </c>
      <c r="D239" t="str">
        <f t="shared" ca="1" si="7"/>
        <v>P004</v>
      </c>
      <c r="E239" s="3">
        <f t="shared" ca="1" si="8"/>
        <v>1</v>
      </c>
      <c r="F239" s="4">
        <f ca="1">_xlfn.XLOOKUP(Orders[[#This Row],[ProductID]],Products!A:A,Products!D:D)</f>
        <v>89.99</v>
      </c>
      <c r="G239" t="str">
        <f ca="1">_xlfn.XLOOKUP(Orders[[#This Row],[CustomerID]],'Customers'!A:A,'Customers'!F:F)</f>
        <v>R04</v>
      </c>
      <c r="H239" t="str">
        <f>TEXT(Orders[[#This Row],[OrderDate]],"mmm")</f>
        <v>Sep</v>
      </c>
      <c r="I239" s="2">
        <f>YEAR(Orders[[#This Row],[OrderDate]])</f>
        <v>2025</v>
      </c>
      <c r="J239" s="4">
        <f ca="1">Orders[[#This Row],[Quantity]]*Orders[[#This Row],[UnitPrice]]</f>
        <v>89.99</v>
      </c>
      <c r="K239" s="4" t="str">
        <f ca="1">_xlfn.XLOOKUP(Orders[[#This Row],[CustomerID]],'Customers'!A:A,'Customers'!B:B)</f>
        <v>Charlie Evans</v>
      </c>
      <c r="L239" s="4" t="str">
        <f ca="1">_xlfn.XLOOKUP(Orders[[#This Row],[ProductID]],Products!A:A,Products!B:B)</f>
        <v>Office Chair</v>
      </c>
      <c r="M239" s="4" t="str">
        <f ca="1">_xlfn.XLOOKUP(Orders[[#This Row],[ProductID]],Products!A:A,Products!C:C)</f>
        <v>Furniture</v>
      </c>
      <c r="N239" s="4" t="str">
        <f ca="1">_xlfn.XLOOKUP(Orders[[#This Row],[RegionID]],'Regions'!A:A,'Regions'!B:B)</f>
        <v>Yorkshire</v>
      </c>
    </row>
    <row r="240" spans="1:14" x14ac:dyDescent="0.25">
      <c r="A240" s="3">
        <v>1239</v>
      </c>
      <c r="B240" s="1">
        <v>45919</v>
      </c>
      <c r="C240" t="str">
        <f t="shared" ca="1" si="6"/>
        <v>C028</v>
      </c>
      <c r="D240" t="str">
        <f t="shared" ca="1" si="7"/>
        <v>P017</v>
      </c>
      <c r="E240" s="3">
        <f t="shared" ca="1" si="8"/>
        <v>5</v>
      </c>
      <c r="F240" s="4">
        <f ca="1">_xlfn.XLOOKUP(Orders[[#This Row],[ProductID]],Products!A:A,Products!D:D)</f>
        <v>3.99</v>
      </c>
      <c r="G240" t="str">
        <f ca="1">_xlfn.XLOOKUP(Orders[[#This Row],[CustomerID]],'Customers'!A:A,'Customers'!F:F)</f>
        <v>R02</v>
      </c>
      <c r="H240" t="str">
        <f>TEXT(Orders[[#This Row],[OrderDate]],"mmm")</f>
        <v>Sep</v>
      </c>
      <c r="I240" s="2">
        <f>YEAR(Orders[[#This Row],[OrderDate]])</f>
        <v>2025</v>
      </c>
      <c r="J240" s="4">
        <f ca="1">Orders[[#This Row],[Quantity]]*Orders[[#This Row],[UnitPrice]]</f>
        <v>19.950000000000003</v>
      </c>
      <c r="K240" s="4" t="str">
        <f ca="1">_xlfn.XLOOKUP(Orders[[#This Row],[CustomerID]],'Customers'!A:A,'Customers'!B:B)</f>
        <v>Ruby Scott</v>
      </c>
      <c r="L240" s="4" t="str">
        <f ca="1">_xlfn.XLOOKUP(Orders[[#This Row],[ProductID]],Products!A:A,Products!B:B)</f>
        <v>Sticky Notes</v>
      </c>
      <c r="M240" s="4" t="str">
        <f ca="1">_xlfn.XLOOKUP(Orders[[#This Row],[ProductID]],Products!A:A,Products!C:C)</f>
        <v>Stationery</v>
      </c>
      <c r="N240" s="4" t="str">
        <f ca="1">_xlfn.XLOOKUP(Orders[[#This Row],[RegionID]],'Regions'!A:A,'Regions'!B:B)</f>
        <v>North West</v>
      </c>
    </row>
    <row r="241" spans="1:14" x14ac:dyDescent="0.25">
      <c r="A241" s="3">
        <v>1240</v>
      </c>
      <c r="B241" s="1">
        <v>45922</v>
      </c>
      <c r="C241" t="str">
        <f t="shared" ca="1" si="6"/>
        <v>C014</v>
      </c>
      <c r="D241" t="str">
        <f t="shared" ca="1" si="7"/>
        <v>P009</v>
      </c>
      <c r="E241" s="3">
        <f t="shared" ca="1" si="8"/>
        <v>9</v>
      </c>
      <c r="F241" s="4">
        <f ca="1">_xlfn.XLOOKUP(Orders[[#This Row],[ProductID]],Products!A:A,Products!D:D)</f>
        <v>12.99</v>
      </c>
      <c r="G241" t="str">
        <f ca="1">_xlfn.XLOOKUP(Orders[[#This Row],[CustomerID]],'Customers'!A:A,'Customers'!F:F)</f>
        <v>R02</v>
      </c>
      <c r="H241" t="str">
        <f>TEXT(Orders[[#This Row],[OrderDate]],"mmm")</f>
        <v>Sep</v>
      </c>
      <c r="I241" s="2">
        <f>YEAR(Orders[[#This Row],[OrderDate]])</f>
        <v>2025</v>
      </c>
      <c r="J241" s="4">
        <f ca="1">Orders[[#This Row],[Quantity]]*Orders[[#This Row],[UnitPrice]]</f>
        <v>116.91</v>
      </c>
      <c r="K241" s="4" t="str">
        <f ca="1">_xlfn.XLOOKUP(Orders[[#This Row],[CustomerID]],'Customers'!A:A,'Customers'!B:B)</f>
        <v>Lily Thompson</v>
      </c>
      <c r="L241" s="4" t="str">
        <f ca="1">_xlfn.XLOOKUP(Orders[[#This Row],[ProductID]],Products!A:A,Products!B:B)</f>
        <v>Water Bottle</v>
      </c>
      <c r="M241" s="4" t="str">
        <f ca="1">_xlfn.XLOOKUP(Orders[[#This Row],[ProductID]],Products!A:A,Products!C:C)</f>
        <v>Home</v>
      </c>
      <c r="N241" s="4" t="str">
        <f ca="1">_xlfn.XLOOKUP(Orders[[#This Row],[RegionID]],'Regions'!A:A,'Regions'!B:B)</f>
        <v>North West</v>
      </c>
    </row>
    <row r="242" spans="1:14" x14ac:dyDescent="0.25">
      <c r="A242" s="3">
        <v>1241</v>
      </c>
      <c r="B242" s="1">
        <v>45923</v>
      </c>
      <c r="C242" t="str">
        <f t="shared" ca="1" si="6"/>
        <v>C008</v>
      </c>
      <c r="D242" t="str">
        <f t="shared" ca="1" si="7"/>
        <v>P009</v>
      </c>
      <c r="E242" s="3">
        <f t="shared" ca="1" si="8"/>
        <v>9</v>
      </c>
      <c r="F242" s="4">
        <f ca="1">_xlfn.XLOOKUP(Orders[[#This Row],[ProductID]],Products!A:A,Products!D:D)</f>
        <v>12.99</v>
      </c>
      <c r="G242" t="str">
        <f ca="1">_xlfn.XLOOKUP(Orders[[#This Row],[CustomerID]],'Customers'!A:A,'Customers'!F:F)</f>
        <v>R01</v>
      </c>
      <c r="H242" t="str">
        <f>TEXT(Orders[[#This Row],[OrderDate]],"mmm")</f>
        <v>Sep</v>
      </c>
      <c r="I242" s="2">
        <f>YEAR(Orders[[#This Row],[OrderDate]])</f>
        <v>2025</v>
      </c>
      <c r="J242" s="4">
        <f ca="1">Orders[[#This Row],[Quantity]]*Orders[[#This Row],[UnitPrice]]</f>
        <v>116.91</v>
      </c>
      <c r="K242" s="4" t="str">
        <f ca="1">_xlfn.XLOOKUP(Orders[[#This Row],[CustomerID]],'Customers'!A:A,'Customers'!B:B)</f>
        <v>Isla Wilson</v>
      </c>
      <c r="L242" s="4" t="str">
        <f ca="1">_xlfn.XLOOKUP(Orders[[#This Row],[ProductID]],Products!A:A,Products!B:B)</f>
        <v>Water Bottle</v>
      </c>
      <c r="M242" s="4" t="str">
        <f ca="1">_xlfn.XLOOKUP(Orders[[#This Row],[ProductID]],Products!A:A,Products!C:C)</f>
        <v>Home</v>
      </c>
      <c r="N242" s="4" t="str">
        <f ca="1">_xlfn.XLOOKUP(Orders[[#This Row],[RegionID]],'Regions'!A:A,'Regions'!B:B)</f>
        <v>London</v>
      </c>
    </row>
    <row r="243" spans="1:14" x14ac:dyDescent="0.25">
      <c r="A243" s="3">
        <v>1242</v>
      </c>
      <c r="B243" s="1">
        <v>45924</v>
      </c>
      <c r="C243" t="str">
        <f t="shared" ca="1" si="6"/>
        <v>C004</v>
      </c>
      <c r="D243" t="str">
        <f t="shared" ca="1" si="7"/>
        <v>P014</v>
      </c>
      <c r="E243" s="3">
        <f t="shared" ca="1" si="8"/>
        <v>5</v>
      </c>
      <c r="F243" s="4">
        <f ca="1">_xlfn.XLOOKUP(Orders[[#This Row],[ProductID]],Products!A:A,Products!D:D)</f>
        <v>19.989999999999998</v>
      </c>
      <c r="G243" t="str">
        <f ca="1">_xlfn.XLOOKUP(Orders[[#This Row],[CustomerID]],'Customers'!A:A,'Customers'!F:F)</f>
        <v>R04</v>
      </c>
      <c r="H243" t="str">
        <f>TEXT(Orders[[#This Row],[OrderDate]],"mmm")</f>
        <v>Sep</v>
      </c>
      <c r="I243" s="2">
        <f>YEAR(Orders[[#This Row],[OrderDate]])</f>
        <v>2025</v>
      </c>
      <c r="J243" s="4">
        <f ca="1">Orders[[#This Row],[Quantity]]*Orders[[#This Row],[UnitPrice]]</f>
        <v>99.949999999999989</v>
      </c>
      <c r="K243" s="4" t="str">
        <f ca="1">_xlfn.XLOOKUP(Orders[[#This Row],[CustomerID]],'Customers'!A:A,'Customers'!B:B)</f>
        <v>Sophia Williams</v>
      </c>
      <c r="L243" s="4" t="str">
        <f ca="1">_xlfn.XLOOKUP(Orders[[#This Row],[ProductID]],Products!A:A,Products!B:B)</f>
        <v>Desk Organizer</v>
      </c>
      <c r="M243" s="4" t="str">
        <f ca="1">_xlfn.XLOOKUP(Orders[[#This Row],[ProductID]],Products!A:A,Products!C:C)</f>
        <v>Office Supplies</v>
      </c>
      <c r="N243" s="4" t="str">
        <f ca="1">_xlfn.XLOOKUP(Orders[[#This Row],[RegionID]],'Regions'!A:A,'Regions'!B:B)</f>
        <v>Yorkshire</v>
      </c>
    </row>
    <row r="244" spans="1:14" x14ac:dyDescent="0.25">
      <c r="A244" s="3">
        <v>1243</v>
      </c>
      <c r="B244" s="1">
        <v>45925</v>
      </c>
      <c r="C244" t="str">
        <f t="shared" ca="1" si="6"/>
        <v>C004</v>
      </c>
      <c r="D244" t="str">
        <f t="shared" ca="1" si="7"/>
        <v>P010</v>
      </c>
      <c r="E244" s="3">
        <f t="shared" ca="1" si="8"/>
        <v>7</v>
      </c>
      <c r="F244" s="4">
        <f ca="1">_xlfn.XLOOKUP(Orders[[#This Row],[ProductID]],Products!A:A,Products!D:D)</f>
        <v>39.99</v>
      </c>
      <c r="G244" t="str">
        <f ca="1">_xlfn.XLOOKUP(Orders[[#This Row],[CustomerID]],'Customers'!A:A,'Customers'!F:F)</f>
        <v>R04</v>
      </c>
      <c r="H244" t="str">
        <f>TEXT(Orders[[#This Row],[OrderDate]],"mmm")</f>
        <v>Sep</v>
      </c>
      <c r="I244" s="2">
        <f>YEAR(Orders[[#This Row],[OrderDate]])</f>
        <v>2025</v>
      </c>
      <c r="J244" s="4">
        <f ca="1">Orders[[#This Row],[Quantity]]*Orders[[#This Row],[UnitPrice]]</f>
        <v>279.93</v>
      </c>
      <c r="K244" s="4" t="str">
        <f ca="1">_xlfn.XLOOKUP(Orders[[#This Row],[CustomerID]],'Customers'!A:A,'Customers'!B:B)</f>
        <v>Sophia Williams</v>
      </c>
      <c r="L244" s="4" t="str">
        <f ca="1">_xlfn.XLOOKUP(Orders[[#This Row],[ProductID]],Products!A:A,Products!B:B)</f>
        <v>Backpack</v>
      </c>
      <c r="M244" s="4" t="str">
        <f ca="1">_xlfn.XLOOKUP(Orders[[#This Row],[ProductID]],Products!A:A,Products!C:C)</f>
        <v>Accessories</v>
      </c>
      <c r="N244" s="4" t="str">
        <f ca="1">_xlfn.XLOOKUP(Orders[[#This Row],[RegionID]],'Regions'!A:A,'Regions'!B:B)</f>
        <v>Yorkshire</v>
      </c>
    </row>
    <row r="245" spans="1:14" x14ac:dyDescent="0.25">
      <c r="A245" s="3">
        <v>1244</v>
      </c>
      <c r="B245" s="1">
        <v>45926</v>
      </c>
      <c r="C245" t="str">
        <f t="shared" ca="1" si="6"/>
        <v>C009</v>
      </c>
      <c r="D245" t="str">
        <f t="shared" ca="1" si="7"/>
        <v>P014</v>
      </c>
      <c r="E245" s="3">
        <f t="shared" ca="1" si="8"/>
        <v>7</v>
      </c>
      <c r="F245" s="4">
        <f ca="1">_xlfn.XLOOKUP(Orders[[#This Row],[ProductID]],Products!A:A,Products!D:D)</f>
        <v>19.989999999999998</v>
      </c>
      <c r="G245" t="str">
        <f ca="1">_xlfn.XLOOKUP(Orders[[#This Row],[CustomerID]],'Customers'!A:A,'Customers'!F:F)</f>
        <v>R04</v>
      </c>
      <c r="H245" t="str">
        <f>TEXT(Orders[[#This Row],[OrderDate]],"mmm")</f>
        <v>Sep</v>
      </c>
      <c r="I245" s="2">
        <f>YEAR(Orders[[#This Row],[OrderDate]])</f>
        <v>2025</v>
      </c>
      <c r="J245" s="4">
        <f ca="1">Orders[[#This Row],[Quantity]]*Orders[[#This Row],[UnitPrice]]</f>
        <v>139.92999999999998</v>
      </c>
      <c r="K245" s="4" t="str">
        <f ca="1">_xlfn.XLOOKUP(Orders[[#This Row],[CustomerID]],'Customers'!A:A,'Customers'!B:B)</f>
        <v>Charlie Evans</v>
      </c>
      <c r="L245" s="4" t="str">
        <f ca="1">_xlfn.XLOOKUP(Orders[[#This Row],[ProductID]],Products!A:A,Products!B:B)</f>
        <v>Desk Organizer</v>
      </c>
      <c r="M245" s="4" t="str">
        <f ca="1">_xlfn.XLOOKUP(Orders[[#This Row],[ProductID]],Products!A:A,Products!C:C)</f>
        <v>Office Supplies</v>
      </c>
      <c r="N245" s="4" t="str">
        <f ca="1">_xlfn.XLOOKUP(Orders[[#This Row],[RegionID]],'Regions'!A:A,'Regions'!B:B)</f>
        <v>Yorkshire</v>
      </c>
    </row>
    <row r="246" spans="1:14" x14ac:dyDescent="0.25">
      <c r="A246" s="3">
        <v>1245</v>
      </c>
      <c r="B246" s="1">
        <v>45929</v>
      </c>
      <c r="C246" t="str">
        <f t="shared" ca="1" si="6"/>
        <v>C015</v>
      </c>
      <c r="D246" t="str">
        <f t="shared" ca="1" si="7"/>
        <v>P011</v>
      </c>
      <c r="E246" s="3">
        <f t="shared" ca="1" si="8"/>
        <v>1</v>
      </c>
      <c r="F246" s="4">
        <f ca="1">_xlfn.XLOOKUP(Orders[[#This Row],[ProductID]],Products!A:A,Products!D:D)</f>
        <v>5.99</v>
      </c>
      <c r="G246" t="str">
        <f ca="1">_xlfn.XLOOKUP(Orders[[#This Row],[CustomerID]],'Customers'!A:A,'Customers'!F:F)</f>
        <v>R01</v>
      </c>
      <c r="H246" t="str">
        <f>TEXT(Orders[[#This Row],[OrderDate]],"mmm")</f>
        <v>Sep</v>
      </c>
      <c r="I246" s="2">
        <f>YEAR(Orders[[#This Row],[OrderDate]])</f>
        <v>2025</v>
      </c>
      <c r="J246" s="4">
        <f ca="1">Orders[[#This Row],[Quantity]]*Orders[[#This Row],[UnitPrice]]</f>
        <v>5.99</v>
      </c>
      <c r="K246" s="4" t="str">
        <f ca="1">_xlfn.XLOOKUP(Orders[[#This Row],[CustomerID]],'Customers'!A:A,'Customers'!B:B)</f>
        <v>Oscar Garcia</v>
      </c>
      <c r="L246" s="4" t="str">
        <f ca="1">_xlfn.XLOOKUP(Orders[[#This Row],[ProductID]],Products!A:A,Products!B:B)</f>
        <v>Pen Set</v>
      </c>
      <c r="M246" s="4" t="str">
        <f ca="1">_xlfn.XLOOKUP(Orders[[#This Row],[ProductID]],Products!A:A,Products!C:C)</f>
        <v>Stationery</v>
      </c>
      <c r="N246" s="4" t="str">
        <f ca="1">_xlfn.XLOOKUP(Orders[[#This Row],[RegionID]],'Regions'!A:A,'Regions'!B:B)</f>
        <v>London</v>
      </c>
    </row>
    <row r="247" spans="1:14" x14ac:dyDescent="0.25">
      <c r="A247" s="3">
        <v>1246</v>
      </c>
      <c r="B247" s="1">
        <v>45930</v>
      </c>
      <c r="C247" t="str">
        <f t="shared" ca="1" si="6"/>
        <v>C022</v>
      </c>
      <c r="D247" t="str">
        <f t="shared" ca="1" si="7"/>
        <v>P007</v>
      </c>
      <c r="E247" s="3">
        <f t="shared" ca="1" si="8"/>
        <v>9</v>
      </c>
      <c r="F247" s="4">
        <f ca="1">_xlfn.XLOOKUP(Orders[[#This Row],[ProductID]],Products!A:A,Products!D:D)</f>
        <v>45.99</v>
      </c>
      <c r="G247" t="str">
        <f ca="1">_xlfn.XLOOKUP(Orders[[#This Row],[CustomerID]],'Customers'!A:A,'Customers'!F:F)</f>
        <v>R03</v>
      </c>
      <c r="H247" t="str">
        <f>TEXT(Orders[[#This Row],[OrderDate]],"mmm")</f>
        <v>Sep</v>
      </c>
      <c r="I247" s="2">
        <f>YEAR(Orders[[#This Row],[OrderDate]])</f>
        <v>2025</v>
      </c>
      <c r="J247" s="4">
        <f ca="1">Orders[[#This Row],[Quantity]]*Orders[[#This Row],[UnitPrice]]</f>
        <v>413.91</v>
      </c>
      <c r="K247" s="4" t="str">
        <f ca="1">_xlfn.XLOOKUP(Orders[[#This Row],[CustomerID]],'Customers'!A:A,'Customers'!B:B)</f>
        <v>Evie Walker</v>
      </c>
      <c r="L247" s="4" t="str">
        <f ca="1">_xlfn.XLOOKUP(Orders[[#This Row],[ProductID]],Products!A:A,Products!B:B)</f>
        <v>Bluetooth Keyboard</v>
      </c>
      <c r="M247" s="4" t="str">
        <f ca="1">_xlfn.XLOOKUP(Orders[[#This Row],[ProductID]],Products!A:A,Products!C:C)</f>
        <v>Electronics</v>
      </c>
      <c r="N247" s="4" t="str">
        <f ca="1">_xlfn.XLOOKUP(Orders[[#This Row],[RegionID]],'Regions'!A:A,'Regions'!B:B)</f>
        <v>Midlands</v>
      </c>
    </row>
    <row r="248" spans="1:14" x14ac:dyDescent="0.25">
      <c r="A248" s="3">
        <v>1247</v>
      </c>
      <c r="B248" s="1">
        <v>45931</v>
      </c>
      <c r="C248" t="str">
        <f t="shared" ca="1" si="6"/>
        <v>C013</v>
      </c>
      <c r="D248" t="str">
        <f t="shared" ca="1" si="7"/>
        <v>P012</v>
      </c>
      <c r="E248" s="3">
        <f t="shared" ca="1" si="8"/>
        <v>3</v>
      </c>
      <c r="F248" s="4">
        <f ca="1">_xlfn.XLOOKUP(Orders[[#This Row],[ProductID]],Products!A:A,Products!D:D)</f>
        <v>299.99</v>
      </c>
      <c r="G248" t="str">
        <f ca="1">_xlfn.XLOOKUP(Orders[[#This Row],[CustomerID]],'Customers'!A:A,'Customers'!F:F)</f>
        <v>R02</v>
      </c>
      <c r="H248" t="str">
        <f>TEXT(Orders[[#This Row],[OrderDate]],"mmm")</f>
        <v>Oct</v>
      </c>
      <c r="I248" s="2">
        <f>YEAR(Orders[[#This Row],[OrderDate]])</f>
        <v>2025</v>
      </c>
      <c r="J248" s="4">
        <f ca="1">Orders[[#This Row],[Quantity]]*Orders[[#This Row],[UnitPrice]]</f>
        <v>899.97</v>
      </c>
      <c r="K248" s="4" t="str">
        <f ca="1">_xlfn.XLOOKUP(Orders[[#This Row],[CustomerID]],'Customers'!A:A,'Customers'!B:B)</f>
        <v>Noah Martin</v>
      </c>
      <c r="L248" s="4" t="str">
        <f ca="1">_xlfn.XLOOKUP(Orders[[#This Row],[ProductID]],Products!A:A,Products!B:B)</f>
        <v>Tablet</v>
      </c>
      <c r="M248" s="4" t="str">
        <f ca="1">_xlfn.XLOOKUP(Orders[[#This Row],[ProductID]],Products!A:A,Products!C:C)</f>
        <v>Electronics</v>
      </c>
      <c r="N248" s="4" t="str">
        <f ca="1">_xlfn.XLOOKUP(Orders[[#This Row],[RegionID]],'Regions'!A:A,'Regions'!B:B)</f>
        <v>North West</v>
      </c>
    </row>
    <row r="249" spans="1:14" x14ac:dyDescent="0.25">
      <c r="A249" s="3">
        <v>1248</v>
      </c>
      <c r="B249" s="1">
        <v>45932</v>
      </c>
      <c r="C249" t="str">
        <f t="shared" ca="1" si="6"/>
        <v>C024</v>
      </c>
      <c r="D249" t="str">
        <f t="shared" ca="1" si="7"/>
        <v>P018</v>
      </c>
      <c r="E249" s="3">
        <f t="shared" ca="1" si="8"/>
        <v>8</v>
      </c>
      <c r="F249" s="4">
        <f ca="1">_xlfn.XLOOKUP(Orders[[#This Row],[ProductID]],Products!A:A,Products!D:D)</f>
        <v>29.99</v>
      </c>
      <c r="G249" t="str">
        <f ca="1">_xlfn.XLOOKUP(Orders[[#This Row],[CustomerID]],'Customers'!A:A,'Customers'!F:F)</f>
        <v>R01</v>
      </c>
      <c r="H249" t="str">
        <f>TEXT(Orders[[#This Row],[OrderDate]],"mmm")</f>
        <v>Oct</v>
      </c>
      <c r="I249" s="2">
        <f>YEAR(Orders[[#This Row],[OrderDate]])</f>
        <v>2025</v>
      </c>
      <c r="J249" s="4">
        <f ca="1">Orders[[#This Row],[Quantity]]*Orders[[#This Row],[UnitPrice]]</f>
        <v>239.92</v>
      </c>
      <c r="K249" s="4" t="str">
        <f ca="1">_xlfn.XLOOKUP(Orders[[#This Row],[CustomerID]],'Customers'!A:A,'Customers'!B:B)</f>
        <v>Isabella Allen</v>
      </c>
      <c r="L249" s="4" t="str">
        <f ca="1">_xlfn.XLOOKUP(Orders[[#This Row],[ProductID]],Products!A:A,Products!B:B)</f>
        <v>Laptop Stand</v>
      </c>
      <c r="M249" s="4" t="str">
        <f ca="1">_xlfn.XLOOKUP(Orders[[#This Row],[ProductID]],Products!A:A,Products!C:C)</f>
        <v>Accessories</v>
      </c>
      <c r="N249" s="4" t="str">
        <f ca="1">_xlfn.XLOOKUP(Orders[[#This Row],[RegionID]],'Regions'!A:A,'Regions'!B:B)</f>
        <v>London</v>
      </c>
    </row>
    <row r="250" spans="1:14" x14ac:dyDescent="0.25">
      <c r="A250" s="3">
        <v>1249</v>
      </c>
      <c r="B250" s="1">
        <v>45933</v>
      </c>
      <c r="C250" t="str">
        <f t="shared" ca="1" si="6"/>
        <v>C024</v>
      </c>
      <c r="D250" t="str">
        <f t="shared" ca="1" si="7"/>
        <v>P018</v>
      </c>
      <c r="E250" s="3">
        <f t="shared" ca="1" si="8"/>
        <v>1</v>
      </c>
      <c r="F250" s="4">
        <f ca="1">_xlfn.XLOOKUP(Orders[[#This Row],[ProductID]],Products!A:A,Products!D:D)</f>
        <v>29.99</v>
      </c>
      <c r="G250" t="str">
        <f ca="1">_xlfn.XLOOKUP(Orders[[#This Row],[CustomerID]],'Customers'!A:A,'Customers'!F:F)</f>
        <v>R01</v>
      </c>
      <c r="H250" t="str">
        <f>TEXT(Orders[[#This Row],[OrderDate]],"mmm")</f>
        <v>Oct</v>
      </c>
      <c r="I250" s="2">
        <f>YEAR(Orders[[#This Row],[OrderDate]])</f>
        <v>2025</v>
      </c>
      <c r="J250" s="4">
        <f ca="1">Orders[[#This Row],[Quantity]]*Orders[[#This Row],[UnitPrice]]</f>
        <v>29.99</v>
      </c>
      <c r="K250" s="4" t="str">
        <f ca="1">_xlfn.XLOOKUP(Orders[[#This Row],[CustomerID]],'Customers'!A:A,'Customers'!B:B)</f>
        <v>Isabella Allen</v>
      </c>
      <c r="L250" s="4" t="str">
        <f ca="1">_xlfn.XLOOKUP(Orders[[#This Row],[ProductID]],Products!A:A,Products!B:B)</f>
        <v>Laptop Stand</v>
      </c>
      <c r="M250" s="4" t="str">
        <f ca="1">_xlfn.XLOOKUP(Orders[[#This Row],[ProductID]],Products!A:A,Products!C:C)</f>
        <v>Accessories</v>
      </c>
      <c r="N250" s="4" t="str">
        <f ca="1">_xlfn.XLOOKUP(Orders[[#This Row],[RegionID]],'Regions'!A:A,'Regions'!B:B)</f>
        <v>London</v>
      </c>
    </row>
    <row r="251" spans="1:14" x14ac:dyDescent="0.25">
      <c r="A251" s="3">
        <v>1250</v>
      </c>
      <c r="B251" s="1">
        <v>45936</v>
      </c>
      <c r="C251" t="str">
        <f t="shared" ca="1" si="6"/>
        <v>C015</v>
      </c>
      <c r="D251" t="str">
        <f t="shared" ca="1" si="7"/>
        <v>P009</v>
      </c>
      <c r="E251" s="3">
        <f t="shared" ca="1" si="8"/>
        <v>4</v>
      </c>
      <c r="F251" s="4">
        <f ca="1">_xlfn.XLOOKUP(Orders[[#This Row],[ProductID]],Products!A:A,Products!D:D)</f>
        <v>12.99</v>
      </c>
      <c r="G251" t="str">
        <f ca="1">_xlfn.XLOOKUP(Orders[[#This Row],[CustomerID]],'Customers'!A:A,'Customers'!F:F)</f>
        <v>R01</v>
      </c>
      <c r="H251" t="str">
        <f>TEXT(Orders[[#This Row],[OrderDate]],"mmm")</f>
        <v>Oct</v>
      </c>
      <c r="I251" s="2">
        <f>YEAR(Orders[[#This Row],[OrderDate]])</f>
        <v>2025</v>
      </c>
      <c r="J251" s="4">
        <f ca="1">Orders[[#This Row],[Quantity]]*Orders[[#This Row],[UnitPrice]]</f>
        <v>51.96</v>
      </c>
      <c r="K251" s="4" t="str">
        <f ca="1">_xlfn.XLOOKUP(Orders[[#This Row],[CustomerID]],'Customers'!A:A,'Customers'!B:B)</f>
        <v>Oscar Garcia</v>
      </c>
      <c r="L251" s="4" t="str">
        <f ca="1">_xlfn.XLOOKUP(Orders[[#This Row],[ProductID]],Products!A:A,Products!B:B)</f>
        <v>Water Bottle</v>
      </c>
      <c r="M251" s="4" t="str">
        <f ca="1">_xlfn.XLOOKUP(Orders[[#This Row],[ProductID]],Products!A:A,Products!C:C)</f>
        <v>Home</v>
      </c>
      <c r="N251" s="4" t="str">
        <f ca="1">_xlfn.XLOOKUP(Orders[[#This Row],[RegionID]],'Regions'!A:A,'Regions'!B:B)</f>
        <v>London</v>
      </c>
    </row>
    <row r="252" spans="1:14" x14ac:dyDescent="0.25">
      <c r="A252" s="3">
        <v>1251</v>
      </c>
      <c r="B252" s="1">
        <v>45937</v>
      </c>
      <c r="C252" t="str">
        <f t="shared" ca="1" si="6"/>
        <v>C022</v>
      </c>
      <c r="D252" t="str">
        <f t="shared" ca="1" si="7"/>
        <v>P012</v>
      </c>
      <c r="E252" s="3">
        <f t="shared" ca="1" si="8"/>
        <v>9</v>
      </c>
      <c r="F252" s="4">
        <f ca="1">_xlfn.XLOOKUP(Orders[[#This Row],[ProductID]],Products!A:A,Products!D:D)</f>
        <v>299.99</v>
      </c>
      <c r="G252" t="str">
        <f ca="1">_xlfn.XLOOKUP(Orders[[#This Row],[CustomerID]],'Customers'!A:A,'Customers'!F:F)</f>
        <v>R03</v>
      </c>
      <c r="H252" t="str">
        <f>TEXT(Orders[[#This Row],[OrderDate]],"mmm")</f>
        <v>Oct</v>
      </c>
      <c r="I252" s="2">
        <f>YEAR(Orders[[#This Row],[OrderDate]])</f>
        <v>2025</v>
      </c>
      <c r="J252" s="4">
        <f ca="1">Orders[[#This Row],[Quantity]]*Orders[[#This Row],[UnitPrice]]</f>
        <v>2699.91</v>
      </c>
      <c r="K252" s="4" t="str">
        <f ca="1">_xlfn.XLOOKUP(Orders[[#This Row],[CustomerID]],'Customers'!A:A,'Customers'!B:B)</f>
        <v>Evie Walker</v>
      </c>
      <c r="L252" s="4" t="str">
        <f ca="1">_xlfn.XLOOKUP(Orders[[#This Row],[ProductID]],Products!A:A,Products!B:B)</f>
        <v>Tablet</v>
      </c>
      <c r="M252" s="4" t="str">
        <f ca="1">_xlfn.XLOOKUP(Orders[[#This Row],[ProductID]],Products!A:A,Products!C:C)</f>
        <v>Electronics</v>
      </c>
      <c r="N252" s="4" t="str">
        <f ca="1">_xlfn.XLOOKUP(Orders[[#This Row],[RegionID]],'Regions'!A:A,'Regions'!B:B)</f>
        <v>Midlands</v>
      </c>
    </row>
    <row r="253" spans="1:14" x14ac:dyDescent="0.25">
      <c r="A253" s="3">
        <v>1252</v>
      </c>
      <c r="B253" s="1">
        <v>45938</v>
      </c>
      <c r="C253" t="str">
        <f t="shared" ca="1" si="6"/>
        <v>C011</v>
      </c>
      <c r="D253" t="str">
        <f t="shared" ca="1" si="7"/>
        <v>P015</v>
      </c>
      <c r="E253" s="3">
        <f t="shared" ca="1" si="8"/>
        <v>3</v>
      </c>
      <c r="F253" s="4">
        <f ca="1">_xlfn.XLOOKUP(Orders[[#This Row],[ProductID]],Products!A:A,Products!D:D)</f>
        <v>79.989999999999995</v>
      </c>
      <c r="G253" t="str">
        <f ca="1">_xlfn.XLOOKUP(Orders[[#This Row],[CustomerID]],'Customers'!A:A,'Customers'!F:F)</f>
        <v>R03</v>
      </c>
      <c r="H253" t="str">
        <f>TEXT(Orders[[#This Row],[OrderDate]],"mmm")</f>
        <v>Oct</v>
      </c>
      <c r="I253" s="2">
        <f>YEAR(Orders[[#This Row],[OrderDate]])</f>
        <v>2025</v>
      </c>
      <c r="J253" s="4">
        <f ca="1">Orders[[#This Row],[Quantity]]*Orders[[#This Row],[UnitPrice]]</f>
        <v>239.96999999999997</v>
      </c>
      <c r="K253" s="4" t="str">
        <f ca="1">_xlfn.XLOOKUP(Orders[[#This Row],[CustomerID]],'Customers'!A:A,'Customers'!B:B)</f>
        <v>George White</v>
      </c>
      <c r="L253" s="4" t="str">
        <f ca="1">_xlfn.XLOOKUP(Orders[[#This Row],[ProductID]],Products!A:A,Products!B:B)</f>
        <v>Headphones</v>
      </c>
      <c r="M253" s="4" t="str">
        <f ca="1">_xlfn.XLOOKUP(Orders[[#This Row],[ProductID]],Products!A:A,Products!C:C)</f>
        <v>Electronics</v>
      </c>
      <c r="N253" s="4" t="str">
        <f ca="1">_xlfn.XLOOKUP(Orders[[#This Row],[RegionID]],'Regions'!A:A,'Regions'!B:B)</f>
        <v>Midlands</v>
      </c>
    </row>
    <row r="254" spans="1:14" x14ac:dyDescent="0.25">
      <c r="A254" s="3">
        <v>1253</v>
      </c>
      <c r="B254" s="1">
        <v>45939</v>
      </c>
      <c r="C254" t="str">
        <f t="shared" ca="1" si="6"/>
        <v>C020</v>
      </c>
      <c r="D254" t="str">
        <f t="shared" ca="1" si="7"/>
        <v>P004</v>
      </c>
      <c r="E254" s="3">
        <f t="shared" ca="1" si="8"/>
        <v>10</v>
      </c>
      <c r="F254" s="4">
        <f ca="1">_xlfn.XLOOKUP(Orders[[#This Row],[ProductID]],Products!A:A,Products!D:D)</f>
        <v>89.99</v>
      </c>
      <c r="G254" t="str">
        <f ca="1">_xlfn.XLOOKUP(Orders[[#This Row],[CustomerID]],'Customers'!A:A,'Customers'!F:F)</f>
        <v>R04</v>
      </c>
      <c r="H254" t="str">
        <f>TEXT(Orders[[#This Row],[OrderDate]],"mmm")</f>
        <v>Oct</v>
      </c>
      <c r="I254" s="2">
        <f>YEAR(Orders[[#This Row],[OrderDate]])</f>
        <v>2025</v>
      </c>
      <c r="J254" s="4">
        <f ca="1">Orders[[#This Row],[Quantity]]*Orders[[#This Row],[UnitPrice]]</f>
        <v>899.9</v>
      </c>
      <c r="K254" s="4" t="str">
        <f ca="1">_xlfn.XLOOKUP(Orders[[#This Row],[CustomerID]],'Customers'!A:A,'Customers'!B:B)</f>
        <v>Ella Lewis</v>
      </c>
      <c r="L254" s="4" t="str">
        <f ca="1">_xlfn.XLOOKUP(Orders[[#This Row],[ProductID]],Products!A:A,Products!B:B)</f>
        <v>Office Chair</v>
      </c>
      <c r="M254" s="4" t="str">
        <f ca="1">_xlfn.XLOOKUP(Orders[[#This Row],[ProductID]],Products!A:A,Products!C:C)</f>
        <v>Furniture</v>
      </c>
      <c r="N254" s="4" t="str">
        <f ca="1">_xlfn.XLOOKUP(Orders[[#This Row],[RegionID]],'Regions'!A:A,'Regions'!B:B)</f>
        <v>Yorkshire</v>
      </c>
    </row>
    <row r="255" spans="1:14" x14ac:dyDescent="0.25">
      <c r="A255" s="3">
        <v>1254</v>
      </c>
      <c r="B255" s="1">
        <v>45940</v>
      </c>
      <c r="C255" t="str">
        <f t="shared" ca="1" si="6"/>
        <v>C007</v>
      </c>
      <c r="D255" t="str">
        <f t="shared" ca="1" si="7"/>
        <v>P020</v>
      </c>
      <c r="E255" s="3">
        <f t="shared" ca="1" si="8"/>
        <v>9</v>
      </c>
      <c r="F255" s="4">
        <f ca="1">_xlfn.XLOOKUP(Orders[[#This Row],[ProductID]],Products!A:A,Products!D:D)</f>
        <v>14.99</v>
      </c>
      <c r="G255" t="str">
        <f ca="1">_xlfn.XLOOKUP(Orders[[#This Row],[CustomerID]],'Customers'!A:A,'Customers'!F:F)</f>
        <v>R05</v>
      </c>
      <c r="H255" t="str">
        <f>TEXT(Orders[[#This Row],[OrderDate]],"mmm")</f>
        <v>Oct</v>
      </c>
      <c r="I255" s="2">
        <f>YEAR(Orders[[#This Row],[OrderDate]])</f>
        <v>2025</v>
      </c>
      <c r="J255" s="4">
        <f ca="1">Orders[[#This Row],[Quantity]]*Orders[[#This Row],[UnitPrice]]</f>
        <v>134.91</v>
      </c>
      <c r="K255" s="4" t="str">
        <f ca="1">_xlfn.XLOOKUP(Orders[[#This Row],[CustomerID]],'Customers'!A:A,'Customers'!B:B)</f>
        <v>Jack Davies</v>
      </c>
      <c r="L255" s="4" t="str">
        <f ca="1">_xlfn.XLOOKUP(Orders[[#This Row],[ProductID]],Products!A:A,Products!B:B)</f>
        <v>Extension Cable</v>
      </c>
      <c r="M255" s="4" t="str">
        <f ca="1">_xlfn.XLOOKUP(Orders[[#This Row],[ProductID]],Products!A:A,Products!C:C)</f>
        <v>Electronics</v>
      </c>
      <c r="N255" s="4" t="str">
        <f ca="1">_xlfn.XLOOKUP(Orders[[#This Row],[RegionID]],'Regions'!A:A,'Regions'!B:B)</f>
        <v>Scotland</v>
      </c>
    </row>
    <row r="256" spans="1:14" x14ac:dyDescent="0.25">
      <c r="A256" s="3">
        <v>1255</v>
      </c>
      <c r="B256" s="1">
        <v>45943</v>
      </c>
      <c r="C256" t="str">
        <f t="shared" ca="1" si="6"/>
        <v>C007</v>
      </c>
      <c r="D256" t="str">
        <f t="shared" ca="1" si="7"/>
        <v>P007</v>
      </c>
      <c r="E256" s="3">
        <f t="shared" ca="1" si="8"/>
        <v>5</v>
      </c>
      <c r="F256" s="4">
        <f ca="1">_xlfn.XLOOKUP(Orders[[#This Row],[ProductID]],Products!A:A,Products!D:D)</f>
        <v>45.99</v>
      </c>
      <c r="G256" t="str">
        <f ca="1">_xlfn.XLOOKUP(Orders[[#This Row],[CustomerID]],'Customers'!A:A,'Customers'!F:F)</f>
        <v>R05</v>
      </c>
      <c r="H256" t="str">
        <f>TEXT(Orders[[#This Row],[OrderDate]],"mmm")</f>
        <v>Oct</v>
      </c>
      <c r="I256" s="2">
        <f>YEAR(Orders[[#This Row],[OrderDate]])</f>
        <v>2025</v>
      </c>
      <c r="J256" s="4">
        <f ca="1">Orders[[#This Row],[Quantity]]*Orders[[#This Row],[UnitPrice]]</f>
        <v>229.95000000000002</v>
      </c>
      <c r="K256" s="4" t="str">
        <f ca="1">_xlfn.XLOOKUP(Orders[[#This Row],[CustomerID]],'Customers'!A:A,'Customers'!B:B)</f>
        <v>Jack Davies</v>
      </c>
      <c r="L256" s="4" t="str">
        <f ca="1">_xlfn.XLOOKUP(Orders[[#This Row],[ProductID]],Products!A:A,Products!B:B)</f>
        <v>Bluetooth Keyboard</v>
      </c>
      <c r="M256" s="4" t="str">
        <f ca="1">_xlfn.XLOOKUP(Orders[[#This Row],[ProductID]],Products!A:A,Products!C:C)</f>
        <v>Electronics</v>
      </c>
      <c r="N256" s="4" t="str">
        <f ca="1">_xlfn.XLOOKUP(Orders[[#This Row],[RegionID]],'Regions'!A:A,'Regions'!B:B)</f>
        <v>Scotland</v>
      </c>
    </row>
    <row r="257" spans="1:14" x14ac:dyDescent="0.25">
      <c r="A257" s="3">
        <v>1256</v>
      </c>
      <c r="B257" s="1">
        <v>45944</v>
      </c>
      <c r="C257" t="str">
        <f t="shared" ca="1" si="6"/>
        <v>C015</v>
      </c>
      <c r="D257" t="str">
        <f t="shared" ca="1" si="7"/>
        <v>P014</v>
      </c>
      <c r="E257" s="3">
        <f t="shared" ca="1" si="8"/>
        <v>9</v>
      </c>
      <c r="F257" s="4">
        <f ca="1">_xlfn.XLOOKUP(Orders[[#This Row],[ProductID]],Products!A:A,Products!D:D)</f>
        <v>19.989999999999998</v>
      </c>
      <c r="G257" t="str">
        <f ca="1">_xlfn.XLOOKUP(Orders[[#This Row],[CustomerID]],'Customers'!A:A,'Customers'!F:F)</f>
        <v>R01</v>
      </c>
      <c r="H257" t="str">
        <f>TEXT(Orders[[#This Row],[OrderDate]],"mmm")</f>
        <v>Oct</v>
      </c>
      <c r="I257" s="2">
        <f>YEAR(Orders[[#This Row],[OrderDate]])</f>
        <v>2025</v>
      </c>
      <c r="J257" s="4">
        <f ca="1">Orders[[#This Row],[Quantity]]*Orders[[#This Row],[UnitPrice]]</f>
        <v>179.91</v>
      </c>
      <c r="K257" s="4" t="str">
        <f ca="1">_xlfn.XLOOKUP(Orders[[#This Row],[CustomerID]],'Customers'!A:A,'Customers'!B:B)</f>
        <v>Oscar Garcia</v>
      </c>
      <c r="L257" s="4" t="str">
        <f ca="1">_xlfn.XLOOKUP(Orders[[#This Row],[ProductID]],Products!A:A,Products!B:B)</f>
        <v>Desk Organizer</v>
      </c>
      <c r="M257" s="4" t="str">
        <f ca="1">_xlfn.XLOOKUP(Orders[[#This Row],[ProductID]],Products!A:A,Products!C:C)</f>
        <v>Office Supplies</v>
      </c>
      <c r="N257" s="4" t="str">
        <f ca="1">_xlfn.XLOOKUP(Orders[[#This Row],[RegionID]],'Regions'!A:A,'Regions'!B:B)</f>
        <v>London</v>
      </c>
    </row>
    <row r="258" spans="1:14" x14ac:dyDescent="0.25">
      <c r="A258" s="3">
        <v>1257</v>
      </c>
      <c r="B258" s="1">
        <v>45945</v>
      </c>
      <c r="C258" t="str">
        <f t="shared" ca="1" si="6"/>
        <v>C018</v>
      </c>
      <c r="D258" t="str">
        <f t="shared" ca="1" si="7"/>
        <v>P003</v>
      </c>
      <c r="E258" s="3">
        <f t="shared" ca="1" si="8"/>
        <v>5</v>
      </c>
      <c r="F258" s="4">
        <f ca="1">_xlfn.XLOOKUP(Orders[[#This Row],[ProductID]],Products!A:A,Products!D:D)</f>
        <v>199.99</v>
      </c>
      <c r="G258" t="str">
        <f ca="1">_xlfn.XLOOKUP(Orders[[#This Row],[CustomerID]],'Customers'!A:A,'Customers'!F:F)</f>
        <v>R02</v>
      </c>
      <c r="H258" t="str">
        <f>TEXT(Orders[[#This Row],[OrderDate]],"mmm")</f>
        <v>Oct</v>
      </c>
      <c r="I258" s="2">
        <f>YEAR(Orders[[#This Row],[OrderDate]])</f>
        <v>2025</v>
      </c>
      <c r="J258" s="4">
        <f ca="1">Orders[[#This Row],[Quantity]]*Orders[[#This Row],[UnitPrice]]</f>
        <v>999.95</v>
      </c>
      <c r="K258" s="4" t="str">
        <f ca="1">_xlfn.XLOOKUP(Orders[[#This Row],[CustomerID]],'Customers'!A:A,'Customers'!B:B)</f>
        <v>Chloe Clark</v>
      </c>
      <c r="L258" s="4" t="str">
        <f ca="1">_xlfn.XLOOKUP(Orders[[#This Row],[ProductID]],Products!A:A,Products!B:B)</f>
        <v>Smartphone</v>
      </c>
      <c r="M258" s="4" t="str">
        <f ca="1">_xlfn.XLOOKUP(Orders[[#This Row],[ProductID]],Products!A:A,Products!C:C)</f>
        <v>Electronics</v>
      </c>
      <c r="N258" s="4" t="str">
        <f ca="1">_xlfn.XLOOKUP(Orders[[#This Row],[RegionID]],'Regions'!A:A,'Regions'!B:B)</f>
        <v>North West</v>
      </c>
    </row>
    <row r="259" spans="1:14" x14ac:dyDescent="0.25">
      <c r="A259" s="3">
        <v>1258</v>
      </c>
      <c r="B259" s="1">
        <v>45946</v>
      </c>
      <c r="C259" t="str">
        <f t="shared" ca="1" si="6"/>
        <v>C011</v>
      </c>
      <c r="D259" t="str">
        <f t="shared" ca="1" si="7"/>
        <v>P003</v>
      </c>
      <c r="E259" s="3">
        <f t="shared" ca="1" si="8"/>
        <v>4</v>
      </c>
      <c r="F259" s="4">
        <f ca="1">_xlfn.XLOOKUP(Orders[[#This Row],[ProductID]],Products!A:A,Products!D:D)</f>
        <v>199.99</v>
      </c>
      <c r="G259" t="str">
        <f ca="1">_xlfn.XLOOKUP(Orders[[#This Row],[CustomerID]],'Customers'!A:A,'Customers'!F:F)</f>
        <v>R03</v>
      </c>
      <c r="H259" t="str">
        <f>TEXT(Orders[[#This Row],[OrderDate]],"mmm")</f>
        <v>Oct</v>
      </c>
      <c r="I259" s="2">
        <f>YEAR(Orders[[#This Row],[OrderDate]])</f>
        <v>2025</v>
      </c>
      <c r="J259" s="4">
        <f ca="1">Orders[[#This Row],[Quantity]]*Orders[[#This Row],[UnitPrice]]</f>
        <v>799.96</v>
      </c>
      <c r="K259" s="4" t="str">
        <f ca="1">_xlfn.XLOOKUP(Orders[[#This Row],[CustomerID]],'Customers'!A:A,'Customers'!B:B)</f>
        <v>George White</v>
      </c>
      <c r="L259" s="4" t="str">
        <f ca="1">_xlfn.XLOOKUP(Orders[[#This Row],[ProductID]],Products!A:A,Products!B:B)</f>
        <v>Smartphone</v>
      </c>
      <c r="M259" s="4" t="str">
        <f ca="1">_xlfn.XLOOKUP(Orders[[#This Row],[ProductID]],Products!A:A,Products!C:C)</f>
        <v>Electronics</v>
      </c>
      <c r="N259" s="4" t="str">
        <f ca="1">_xlfn.XLOOKUP(Orders[[#This Row],[RegionID]],'Regions'!A:A,'Regions'!B:B)</f>
        <v>Midlands</v>
      </c>
    </row>
    <row r="260" spans="1:14" x14ac:dyDescent="0.25">
      <c r="A260" s="3">
        <v>1259</v>
      </c>
      <c r="B260" s="1">
        <v>45947</v>
      </c>
      <c r="C260" t="str">
        <f t="shared" ca="1" si="6"/>
        <v>C015</v>
      </c>
      <c r="D260" t="str">
        <f t="shared" ca="1" si="7"/>
        <v>P012</v>
      </c>
      <c r="E260" s="3">
        <f t="shared" ca="1" si="8"/>
        <v>8</v>
      </c>
      <c r="F260" s="4">
        <f ca="1">_xlfn.XLOOKUP(Orders[[#This Row],[ProductID]],Products!A:A,Products!D:D)</f>
        <v>299.99</v>
      </c>
      <c r="G260" t="str">
        <f ca="1">_xlfn.XLOOKUP(Orders[[#This Row],[CustomerID]],'Customers'!A:A,'Customers'!F:F)</f>
        <v>R01</v>
      </c>
      <c r="H260" t="str">
        <f>TEXT(Orders[[#This Row],[OrderDate]],"mmm")</f>
        <v>Oct</v>
      </c>
      <c r="I260" s="2">
        <f>YEAR(Orders[[#This Row],[OrderDate]])</f>
        <v>2025</v>
      </c>
      <c r="J260" s="4">
        <f ca="1">Orders[[#This Row],[Quantity]]*Orders[[#This Row],[UnitPrice]]</f>
        <v>2399.92</v>
      </c>
      <c r="K260" s="4" t="str">
        <f ca="1">_xlfn.XLOOKUP(Orders[[#This Row],[CustomerID]],'Customers'!A:A,'Customers'!B:B)</f>
        <v>Oscar Garcia</v>
      </c>
      <c r="L260" s="4" t="str">
        <f ca="1">_xlfn.XLOOKUP(Orders[[#This Row],[ProductID]],Products!A:A,Products!B:B)</f>
        <v>Tablet</v>
      </c>
      <c r="M260" s="4" t="str">
        <f ca="1">_xlfn.XLOOKUP(Orders[[#This Row],[ProductID]],Products!A:A,Products!C:C)</f>
        <v>Electronics</v>
      </c>
      <c r="N260" s="4" t="str">
        <f ca="1">_xlfn.XLOOKUP(Orders[[#This Row],[RegionID]],'Regions'!A:A,'Regions'!B:B)</f>
        <v>London</v>
      </c>
    </row>
    <row r="261" spans="1:14" x14ac:dyDescent="0.25">
      <c r="A261" s="3">
        <v>1260</v>
      </c>
      <c r="B261" s="1">
        <v>45950</v>
      </c>
      <c r="C261" t="str">
        <f t="shared" ca="1" si="6"/>
        <v>C025</v>
      </c>
      <c r="D261" t="str">
        <f t="shared" ca="1" si="7"/>
        <v>P018</v>
      </c>
      <c r="E261" s="3">
        <f t="shared" ca="1" si="8"/>
        <v>3</v>
      </c>
      <c r="F261" s="4">
        <f ca="1">_xlfn.XLOOKUP(Orders[[#This Row],[ProductID]],Products!A:A,Products!D:D)</f>
        <v>29.99</v>
      </c>
      <c r="G261" t="str">
        <f ca="1">_xlfn.XLOOKUP(Orders[[#This Row],[CustomerID]],'Customers'!A:A,'Customers'!F:F)</f>
        <v>R05</v>
      </c>
      <c r="H261" t="str">
        <f>TEXT(Orders[[#This Row],[OrderDate]],"mmm")</f>
        <v>Oct</v>
      </c>
      <c r="I261" s="2">
        <f>YEAR(Orders[[#This Row],[OrderDate]])</f>
        <v>2025</v>
      </c>
      <c r="J261" s="4">
        <f ca="1">Orders[[#This Row],[Quantity]]*Orders[[#This Row],[UnitPrice]]</f>
        <v>89.97</v>
      </c>
      <c r="K261" s="4" t="str">
        <f ca="1">_xlfn.XLOOKUP(Orders[[#This Row],[CustomerID]],'Customers'!A:A,'Customers'!B:B)</f>
        <v>Theo Young</v>
      </c>
      <c r="L261" s="4" t="str">
        <f ca="1">_xlfn.XLOOKUP(Orders[[#This Row],[ProductID]],Products!A:A,Products!B:B)</f>
        <v>Laptop Stand</v>
      </c>
      <c r="M261" s="4" t="str">
        <f ca="1">_xlfn.XLOOKUP(Orders[[#This Row],[ProductID]],Products!A:A,Products!C:C)</f>
        <v>Accessories</v>
      </c>
      <c r="N261" s="4" t="str">
        <f ca="1">_xlfn.XLOOKUP(Orders[[#This Row],[RegionID]],'Regions'!A:A,'Regions'!B:B)</f>
        <v>Scotland</v>
      </c>
    </row>
    <row r="262" spans="1:14" x14ac:dyDescent="0.25">
      <c r="A262" s="3">
        <v>1261</v>
      </c>
      <c r="B262" s="1">
        <v>45951</v>
      </c>
      <c r="C262" t="str">
        <f t="shared" ca="1" si="6"/>
        <v>C013</v>
      </c>
      <c r="D262" t="str">
        <f t="shared" ca="1" si="7"/>
        <v>P011</v>
      </c>
      <c r="E262" s="3">
        <f t="shared" ca="1" si="8"/>
        <v>7</v>
      </c>
      <c r="F262" s="4">
        <f ca="1">_xlfn.XLOOKUP(Orders[[#This Row],[ProductID]],Products!A:A,Products!D:D)</f>
        <v>5.99</v>
      </c>
      <c r="G262" t="str">
        <f ca="1">_xlfn.XLOOKUP(Orders[[#This Row],[CustomerID]],'Customers'!A:A,'Customers'!F:F)</f>
        <v>R02</v>
      </c>
      <c r="H262" t="str">
        <f>TEXT(Orders[[#This Row],[OrderDate]],"mmm")</f>
        <v>Oct</v>
      </c>
      <c r="I262" s="2">
        <f>YEAR(Orders[[#This Row],[OrderDate]])</f>
        <v>2025</v>
      </c>
      <c r="J262" s="4">
        <f ca="1">Orders[[#This Row],[Quantity]]*Orders[[#This Row],[UnitPrice]]</f>
        <v>41.93</v>
      </c>
      <c r="K262" s="4" t="str">
        <f ca="1">_xlfn.XLOOKUP(Orders[[#This Row],[CustomerID]],'Customers'!A:A,'Customers'!B:B)</f>
        <v>Noah Martin</v>
      </c>
      <c r="L262" s="4" t="str">
        <f ca="1">_xlfn.XLOOKUP(Orders[[#This Row],[ProductID]],Products!A:A,Products!B:B)</f>
        <v>Pen Set</v>
      </c>
      <c r="M262" s="4" t="str">
        <f ca="1">_xlfn.XLOOKUP(Orders[[#This Row],[ProductID]],Products!A:A,Products!C:C)</f>
        <v>Stationery</v>
      </c>
      <c r="N262" s="4" t="str">
        <f ca="1">_xlfn.XLOOKUP(Orders[[#This Row],[RegionID]],'Regions'!A:A,'Regions'!B:B)</f>
        <v>North West</v>
      </c>
    </row>
    <row r="263" spans="1:14" x14ac:dyDescent="0.25">
      <c r="A263" s="3">
        <v>1262</v>
      </c>
      <c r="B263" s="1">
        <v>45952</v>
      </c>
      <c r="C263" t="str">
        <f t="shared" ca="1" si="6"/>
        <v>C007</v>
      </c>
      <c r="D263" t="str">
        <f t="shared" ca="1" si="7"/>
        <v>P010</v>
      </c>
      <c r="E263" s="3">
        <f t="shared" ca="1" si="8"/>
        <v>4</v>
      </c>
      <c r="F263" s="4">
        <f ca="1">_xlfn.XLOOKUP(Orders[[#This Row],[ProductID]],Products!A:A,Products!D:D)</f>
        <v>39.99</v>
      </c>
      <c r="G263" t="str">
        <f ca="1">_xlfn.XLOOKUP(Orders[[#This Row],[CustomerID]],'Customers'!A:A,'Customers'!F:F)</f>
        <v>R05</v>
      </c>
      <c r="H263" t="str">
        <f>TEXT(Orders[[#This Row],[OrderDate]],"mmm")</f>
        <v>Oct</v>
      </c>
      <c r="I263" s="2">
        <f>YEAR(Orders[[#This Row],[OrderDate]])</f>
        <v>2025</v>
      </c>
      <c r="J263" s="4">
        <f ca="1">Orders[[#This Row],[Quantity]]*Orders[[#This Row],[UnitPrice]]</f>
        <v>159.96</v>
      </c>
      <c r="K263" s="4" t="str">
        <f ca="1">_xlfn.XLOOKUP(Orders[[#This Row],[CustomerID]],'Customers'!A:A,'Customers'!B:B)</f>
        <v>Jack Davies</v>
      </c>
      <c r="L263" s="4" t="str">
        <f ca="1">_xlfn.XLOOKUP(Orders[[#This Row],[ProductID]],Products!A:A,Products!B:B)</f>
        <v>Backpack</v>
      </c>
      <c r="M263" s="4" t="str">
        <f ca="1">_xlfn.XLOOKUP(Orders[[#This Row],[ProductID]],Products!A:A,Products!C:C)</f>
        <v>Accessories</v>
      </c>
      <c r="N263" s="4" t="str">
        <f ca="1">_xlfn.XLOOKUP(Orders[[#This Row],[RegionID]],'Regions'!A:A,'Regions'!B:B)</f>
        <v>Scotland</v>
      </c>
    </row>
    <row r="264" spans="1:14" x14ac:dyDescent="0.25">
      <c r="A264" s="3">
        <v>1263</v>
      </c>
      <c r="B264" s="1">
        <v>45953</v>
      </c>
      <c r="C264" t="str">
        <f t="shared" ca="1" si="6"/>
        <v>C026</v>
      </c>
      <c r="D264" t="str">
        <f t="shared" ca="1" si="7"/>
        <v>P001</v>
      </c>
      <c r="E264" s="3">
        <f t="shared" ca="1" si="8"/>
        <v>6</v>
      </c>
      <c r="F264" s="4">
        <f ca="1">_xlfn.XLOOKUP(Orders[[#This Row],[ProductID]],Products!A:A,Products!D:D)</f>
        <v>25.99</v>
      </c>
      <c r="G264" t="str">
        <f ca="1">_xlfn.XLOOKUP(Orders[[#This Row],[CustomerID]],'Customers'!A:A,'Customers'!F:F)</f>
        <v>R05</v>
      </c>
      <c r="H264" t="str">
        <f>TEXT(Orders[[#This Row],[OrderDate]],"mmm")</f>
        <v>Oct</v>
      </c>
      <c r="I264" s="2">
        <f>YEAR(Orders[[#This Row],[OrderDate]])</f>
        <v>2025</v>
      </c>
      <c r="J264" s="4">
        <f ca="1">Orders[[#This Row],[Quantity]]*Orders[[#This Row],[UnitPrice]]</f>
        <v>155.94</v>
      </c>
      <c r="K264" s="4" t="str">
        <f ca="1">_xlfn.XLOOKUP(Orders[[#This Row],[CustomerID]],'Customers'!A:A,'Customers'!B:B)</f>
        <v>Poppy King</v>
      </c>
      <c r="L264" s="4" t="str">
        <f ca="1">_xlfn.XLOOKUP(Orders[[#This Row],[ProductID]],Products!A:A,Products!B:B)</f>
        <v>Wireless Mouse</v>
      </c>
      <c r="M264" s="4" t="str">
        <f ca="1">_xlfn.XLOOKUP(Orders[[#This Row],[ProductID]],Products!A:A,Products!C:C)</f>
        <v>Electronics</v>
      </c>
      <c r="N264" s="4" t="str">
        <f ca="1">_xlfn.XLOOKUP(Orders[[#This Row],[RegionID]],'Regions'!A:A,'Regions'!B:B)</f>
        <v>Scotland</v>
      </c>
    </row>
    <row r="265" spans="1:14" x14ac:dyDescent="0.25">
      <c r="A265" s="3">
        <v>1264</v>
      </c>
      <c r="B265" s="1">
        <v>45954</v>
      </c>
      <c r="C265" t="str">
        <f t="shared" ca="1" si="6"/>
        <v>C011</v>
      </c>
      <c r="D265" t="str">
        <f t="shared" ca="1" si="7"/>
        <v>P006</v>
      </c>
      <c r="E265" s="3">
        <f t="shared" ca="1" si="8"/>
        <v>2</v>
      </c>
      <c r="F265" s="4">
        <f ca="1">_xlfn.XLOOKUP(Orders[[#This Row],[ProductID]],Products!A:A,Products!D:D)</f>
        <v>49.99</v>
      </c>
      <c r="G265" t="str">
        <f ca="1">_xlfn.XLOOKUP(Orders[[#This Row],[CustomerID]],'Customers'!A:A,'Customers'!F:F)</f>
        <v>R03</v>
      </c>
      <c r="H265" t="str">
        <f>TEXT(Orders[[#This Row],[OrderDate]],"mmm")</f>
        <v>Oct</v>
      </c>
      <c r="I265" s="2">
        <f>YEAR(Orders[[#This Row],[OrderDate]])</f>
        <v>2025</v>
      </c>
      <c r="J265" s="4">
        <f ca="1">Orders[[#This Row],[Quantity]]*Orders[[#This Row],[UnitPrice]]</f>
        <v>99.98</v>
      </c>
      <c r="K265" s="4" t="str">
        <f ca="1">_xlfn.XLOOKUP(Orders[[#This Row],[CustomerID]],'Customers'!A:A,'Customers'!B:B)</f>
        <v>George White</v>
      </c>
      <c r="L265" s="4" t="str">
        <f ca="1">_xlfn.XLOOKUP(Orders[[#This Row],[ProductID]],Products!A:A,Products!B:B)</f>
        <v>Desk Lamp</v>
      </c>
      <c r="M265" s="4" t="str">
        <f ca="1">_xlfn.XLOOKUP(Orders[[#This Row],[ProductID]],Products!A:A,Products!C:C)</f>
        <v>Furniture</v>
      </c>
      <c r="N265" s="4" t="str">
        <f ca="1">_xlfn.XLOOKUP(Orders[[#This Row],[RegionID]],'Regions'!A:A,'Regions'!B:B)</f>
        <v>Midlands</v>
      </c>
    </row>
    <row r="266" spans="1:14" x14ac:dyDescent="0.25">
      <c r="A266" s="3">
        <v>1265</v>
      </c>
      <c r="B266" s="1">
        <v>45957</v>
      </c>
      <c r="C266" t="str">
        <f t="shared" ca="1" si="6"/>
        <v>C025</v>
      </c>
      <c r="D266" t="str">
        <f t="shared" ca="1" si="7"/>
        <v>P010</v>
      </c>
      <c r="E266" s="3">
        <f t="shared" ca="1" si="8"/>
        <v>1</v>
      </c>
      <c r="F266" s="4">
        <f ca="1">_xlfn.XLOOKUP(Orders[[#This Row],[ProductID]],Products!A:A,Products!D:D)</f>
        <v>39.99</v>
      </c>
      <c r="G266" t="str">
        <f ca="1">_xlfn.XLOOKUP(Orders[[#This Row],[CustomerID]],'Customers'!A:A,'Customers'!F:F)</f>
        <v>R05</v>
      </c>
      <c r="H266" t="str">
        <f>TEXT(Orders[[#This Row],[OrderDate]],"mmm")</f>
        <v>Oct</v>
      </c>
      <c r="I266" s="2">
        <f>YEAR(Orders[[#This Row],[OrderDate]])</f>
        <v>2025</v>
      </c>
      <c r="J266" s="4">
        <f ca="1">Orders[[#This Row],[Quantity]]*Orders[[#This Row],[UnitPrice]]</f>
        <v>39.99</v>
      </c>
      <c r="K266" s="4" t="str">
        <f ca="1">_xlfn.XLOOKUP(Orders[[#This Row],[CustomerID]],'Customers'!A:A,'Customers'!B:B)</f>
        <v>Theo Young</v>
      </c>
      <c r="L266" s="4" t="str">
        <f ca="1">_xlfn.XLOOKUP(Orders[[#This Row],[ProductID]],Products!A:A,Products!B:B)</f>
        <v>Backpack</v>
      </c>
      <c r="M266" s="4" t="str">
        <f ca="1">_xlfn.XLOOKUP(Orders[[#This Row],[ProductID]],Products!A:A,Products!C:C)</f>
        <v>Accessories</v>
      </c>
      <c r="N266" s="4" t="str">
        <f ca="1">_xlfn.XLOOKUP(Orders[[#This Row],[RegionID]],'Regions'!A:A,'Regions'!B:B)</f>
        <v>Scotland</v>
      </c>
    </row>
    <row r="267" spans="1:14" x14ac:dyDescent="0.25">
      <c r="A267" s="3">
        <v>1266</v>
      </c>
      <c r="B267" s="1">
        <v>45958</v>
      </c>
      <c r="C267" t="str">
        <f t="shared" ca="1" si="6"/>
        <v>C015</v>
      </c>
      <c r="D267" t="str">
        <f t="shared" ca="1" si="7"/>
        <v>P009</v>
      </c>
      <c r="E267" s="3">
        <f t="shared" ca="1" si="8"/>
        <v>6</v>
      </c>
      <c r="F267" s="4">
        <f ca="1">_xlfn.XLOOKUP(Orders[[#This Row],[ProductID]],Products!A:A,Products!D:D)</f>
        <v>12.99</v>
      </c>
      <c r="G267" t="str">
        <f ca="1">_xlfn.XLOOKUP(Orders[[#This Row],[CustomerID]],'Customers'!A:A,'Customers'!F:F)</f>
        <v>R01</v>
      </c>
      <c r="H267" t="str">
        <f>TEXT(Orders[[#This Row],[OrderDate]],"mmm")</f>
        <v>Oct</v>
      </c>
      <c r="I267" s="2">
        <f>YEAR(Orders[[#This Row],[OrderDate]])</f>
        <v>2025</v>
      </c>
      <c r="J267" s="4">
        <f ca="1">Orders[[#This Row],[Quantity]]*Orders[[#This Row],[UnitPrice]]</f>
        <v>77.94</v>
      </c>
      <c r="K267" s="4" t="str">
        <f ca="1">_xlfn.XLOOKUP(Orders[[#This Row],[CustomerID]],'Customers'!A:A,'Customers'!B:B)</f>
        <v>Oscar Garcia</v>
      </c>
      <c r="L267" s="4" t="str">
        <f ca="1">_xlfn.XLOOKUP(Orders[[#This Row],[ProductID]],Products!A:A,Products!B:B)</f>
        <v>Water Bottle</v>
      </c>
      <c r="M267" s="4" t="str">
        <f ca="1">_xlfn.XLOOKUP(Orders[[#This Row],[ProductID]],Products!A:A,Products!C:C)</f>
        <v>Home</v>
      </c>
      <c r="N267" s="4" t="str">
        <f ca="1">_xlfn.XLOOKUP(Orders[[#This Row],[RegionID]],'Regions'!A:A,'Regions'!B:B)</f>
        <v>London</v>
      </c>
    </row>
    <row r="268" spans="1:14" x14ac:dyDescent="0.25">
      <c r="A268" s="3">
        <v>1267</v>
      </c>
      <c r="B268" s="1">
        <v>45959</v>
      </c>
      <c r="C268" t="str">
        <f t="shared" ca="1" si="6"/>
        <v>C013</v>
      </c>
      <c r="D268" t="str">
        <f t="shared" ca="1" si="7"/>
        <v>P019</v>
      </c>
      <c r="E268" s="3">
        <f t="shared" ca="1" si="8"/>
        <v>5</v>
      </c>
      <c r="F268" s="4">
        <f ca="1">_xlfn.XLOOKUP(Orders[[#This Row],[ProductID]],Products!A:A,Products!D:D)</f>
        <v>59.99</v>
      </c>
      <c r="G268" t="str">
        <f ca="1">_xlfn.XLOOKUP(Orders[[#This Row],[CustomerID]],'Customers'!A:A,'Customers'!F:F)</f>
        <v>R02</v>
      </c>
      <c r="H268" t="str">
        <f>TEXT(Orders[[#This Row],[OrderDate]],"mmm")</f>
        <v>Oct</v>
      </c>
      <c r="I268" s="2">
        <f>YEAR(Orders[[#This Row],[OrderDate]])</f>
        <v>2025</v>
      </c>
      <c r="J268" s="4">
        <f ca="1">Orders[[#This Row],[Quantity]]*Orders[[#This Row],[UnitPrice]]</f>
        <v>299.95</v>
      </c>
      <c r="K268" s="4" t="str">
        <f ca="1">_xlfn.XLOOKUP(Orders[[#This Row],[CustomerID]],'Customers'!A:A,'Customers'!B:B)</f>
        <v>Noah Martin</v>
      </c>
      <c r="L268" s="4" t="str">
        <f ca="1">_xlfn.XLOOKUP(Orders[[#This Row],[ProductID]],Products!A:A,Products!B:B)</f>
        <v>Webcam</v>
      </c>
      <c r="M268" s="4" t="str">
        <f ca="1">_xlfn.XLOOKUP(Orders[[#This Row],[ProductID]],Products!A:A,Products!C:C)</f>
        <v>Electronics</v>
      </c>
      <c r="N268" s="4" t="str">
        <f ca="1">_xlfn.XLOOKUP(Orders[[#This Row],[RegionID]],'Regions'!A:A,'Regions'!B:B)</f>
        <v>North West</v>
      </c>
    </row>
    <row r="269" spans="1:14" x14ac:dyDescent="0.25">
      <c r="A269" s="3">
        <v>1268</v>
      </c>
      <c r="B269" s="1">
        <v>45960</v>
      </c>
      <c r="C269" t="str">
        <f t="shared" ca="1" si="6"/>
        <v>C009</v>
      </c>
      <c r="D269" t="str">
        <f t="shared" ca="1" si="7"/>
        <v>P018</v>
      </c>
      <c r="E269" s="3">
        <f t="shared" ca="1" si="8"/>
        <v>6</v>
      </c>
      <c r="F269" s="4">
        <f ca="1">_xlfn.XLOOKUP(Orders[[#This Row],[ProductID]],Products!A:A,Products!D:D)</f>
        <v>29.99</v>
      </c>
      <c r="G269" t="str">
        <f ca="1">_xlfn.XLOOKUP(Orders[[#This Row],[CustomerID]],'Customers'!A:A,'Customers'!F:F)</f>
        <v>R04</v>
      </c>
      <c r="H269" t="str">
        <f>TEXT(Orders[[#This Row],[OrderDate]],"mmm")</f>
        <v>Oct</v>
      </c>
      <c r="I269" s="2">
        <f>YEAR(Orders[[#This Row],[OrderDate]])</f>
        <v>2025</v>
      </c>
      <c r="J269" s="4">
        <f ca="1">Orders[[#This Row],[Quantity]]*Orders[[#This Row],[UnitPrice]]</f>
        <v>179.94</v>
      </c>
      <c r="K269" s="4" t="str">
        <f ca="1">_xlfn.XLOOKUP(Orders[[#This Row],[CustomerID]],'Customers'!A:A,'Customers'!B:B)</f>
        <v>Charlie Evans</v>
      </c>
      <c r="L269" s="4" t="str">
        <f ca="1">_xlfn.XLOOKUP(Orders[[#This Row],[ProductID]],Products!A:A,Products!B:B)</f>
        <v>Laptop Stand</v>
      </c>
      <c r="M269" s="4" t="str">
        <f ca="1">_xlfn.XLOOKUP(Orders[[#This Row],[ProductID]],Products!A:A,Products!C:C)</f>
        <v>Accessories</v>
      </c>
      <c r="N269" s="4" t="str">
        <f ca="1">_xlfn.XLOOKUP(Orders[[#This Row],[RegionID]],'Regions'!A:A,'Regions'!B:B)</f>
        <v>Yorkshire</v>
      </c>
    </row>
    <row r="270" spans="1:14" x14ac:dyDescent="0.25">
      <c r="A270" s="3">
        <v>1269</v>
      </c>
      <c r="B270" s="1">
        <v>45961</v>
      </c>
      <c r="C270" t="str">
        <f t="shared" ca="1" si="6"/>
        <v>C003</v>
      </c>
      <c r="D270" t="str">
        <f t="shared" ca="1" si="7"/>
        <v>P015</v>
      </c>
      <c r="E270" s="3">
        <f t="shared" ca="1" si="8"/>
        <v>6</v>
      </c>
      <c r="F270" s="4">
        <f ca="1">_xlfn.XLOOKUP(Orders[[#This Row],[ProductID]],Products!A:A,Products!D:D)</f>
        <v>79.989999999999995</v>
      </c>
      <c r="G270" t="str">
        <f ca="1">_xlfn.XLOOKUP(Orders[[#This Row],[CustomerID]],'Customers'!A:A,'Customers'!F:F)</f>
        <v>R03</v>
      </c>
      <c r="H270" t="str">
        <f>TEXT(Orders[[#This Row],[OrderDate]],"mmm")</f>
        <v>Oct</v>
      </c>
      <c r="I270" s="2">
        <f>YEAR(Orders[[#This Row],[OrderDate]])</f>
        <v>2025</v>
      </c>
      <c r="J270" s="4">
        <f ca="1">Orders[[#This Row],[Quantity]]*Orders[[#This Row],[UnitPrice]]</f>
        <v>479.93999999999994</v>
      </c>
      <c r="K270" s="4" t="str">
        <f ca="1">_xlfn.XLOOKUP(Orders[[#This Row],[CustomerID]],'Customers'!A:A,'Customers'!B:B)</f>
        <v>Oliver Brown</v>
      </c>
      <c r="L270" s="4" t="str">
        <f ca="1">_xlfn.XLOOKUP(Orders[[#This Row],[ProductID]],Products!A:A,Products!B:B)</f>
        <v>Headphones</v>
      </c>
      <c r="M270" s="4" t="str">
        <f ca="1">_xlfn.XLOOKUP(Orders[[#This Row],[ProductID]],Products!A:A,Products!C:C)</f>
        <v>Electronics</v>
      </c>
      <c r="N270" s="4" t="str">
        <f ca="1">_xlfn.XLOOKUP(Orders[[#This Row],[RegionID]],'Regions'!A:A,'Regions'!B:B)</f>
        <v>Midlands</v>
      </c>
    </row>
    <row r="271" spans="1:14" x14ac:dyDescent="0.25">
      <c r="A271" s="3">
        <v>1270</v>
      </c>
      <c r="B271" s="1">
        <v>45964</v>
      </c>
      <c r="C271" t="str">
        <f t="shared" ca="1" si="6"/>
        <v>C029</v>
      </c>
      <c r="D271" t="str">
        <f t="shared" ca="1" si="7"/>
        <v>P011</v>
      </c>
      <c r="E271" s="3">
        <f t="shared" ca="1" si="8"/>
        <v>3</v>
      </c>
      <c r="F271" s="4">
        <f ca="1">_xlfn.XLOOKUP(Orders[[#This Row],[ProductID]],Products!A:A,Products!D:D)</f>
        <v>5.99</v>
      </c>
      <c r="G271" t="str">
        <f ca="1">_xlfn.XLOOKUP(Orders[[#This Row],[CustomerID]],'Customers'!A:A,'Customers'!F:F)</f>
        <v>R04</v>
      </c>
      <c r="H271" t="str">
        <f>TEXT(Orders[[#This Row],[OrderDate]],"mmm")</f>
        <v>Nov</v>
      </c>
      <c r="I271" s="2">
        <f>YEAR(Orders[[#This Row],[OrderDate]])</f>
        <v>2025</v>
      </c>
      <c r="J271" s="4">
        <f ca="1">Orders[[#This Row],[Quantity]]*Orders[[#This Row],[UnitPrice]]</f>
        <v>17.97</v>
      </c>
      <c r="K271" s="4" t="str">
        <f ca="1">_xlfn.XLOOKUP(Orders[[#This Row],[CustomerID]],'Customers'!A:A,'Customers'!B:B)</f>
        <v>Jacob Green</v>
      </c>
      <c r="L271" s="4" t="str">
        <f ca="1">_xlfn.XLOOKUP(Orders[[#This Row],[ProductID]],Products!A:A,Products!B:B)</f>
        <v>Pen Set</v>
      </c>
      <c r="M271" s="4" t="str">
        <f ca="1">_xlfn.XLOOKUP(Orders[[#This Row],[ProductID]],Products!A:A,Products!C:C)</f>
        <v>Stationery</v>
      </c>
      <c r="N271" s="4" t="str">
        <f ca="1">_xlfn.XLOOKUP(Orders[[#This Row],[RegionID]],'Regions'!A:A,'Regions'!B:B)</f>
        <v>Yorkshire</v>
      </c>
    </row>
    <row r="272" spans="1:14" x14ac:dyDescent="0.25">
      <c r="A272" s="3">
        <v>1271</v>
      </c>
      <c r="B272" s="1">
        <v>45965</v>
      </c>
      <c r="C272" t="str">
        <f t="shared" ca="1" si="6"/>
        <v>C013</v>
      </c>
      <c r="D272" t="str">
        <f t="shared" ca="1" si="7"/>
        <v>P012</v>
      </c>
      <c r="E272" s="3">
        <f t="shared" ca="1" si="8"/>
        <v>2</v>
      </c>
      <c r="F272" s="4">
        <f ca="1">_xlfn.XLOOKUP(Orders[[#This Row],[ProductID]],Products!A:A,Products!D:D)</f>
        <v>299.99</v>
      </c>
      <c r="G272" t="str">
        <f ca="1">_xlfn.XLOOKUP(Orders[[#This Row],[CustomerID]],'Customers'!A:A,'Customers'!F:F)</f>
        <v>R02</v>
      </c>
      <c r="H272" t="str">
        <f>TEXT(Orders[[#This Row],[OrderDate]],"mmm")</f>
        <v>Nov</v>
      </c>
      <c r="I272" s="2">
        <f>YEAR(Orders[[#This Row],[OrderDate]])</f>
        <v>2025</v>
      </c>
      <c r="J272" s="4">
        <f ca="1">Orders[[#This Row],[Quantity]]*Orders[[#This Row],[UnitPrice]]</f>
        <v>599.98</v>
      </c>
      <c r="K272" s="4" t="str">
        <f ca="1">_xlfn.XLOOKUP(Orders[[#This Row],[CustomerID]],'Customers'!A:A,'Customers'!B:B)</f>
        <v>Noah Martin</v>
      </c>
      <c r="L272" s="4" t="str">
        <f ca="1">_xlfn.XLOOKUP(Orders[[#This Row],[ProductID]],Products!A:A,Products!B:B)</f>
        <v>Tablet</v>
      </c>
      <c r="M272" s="4" t="str">
        <f ca="1">_xlfn.XLOOKUP(Orders[[#This Row],[ProductID]],Products!A:A,Products!C:C)</f>
        <v>Electronics</v>
      </c>
      <c r="N272" s="4" t="str">
        <f ca="1">_xlfn.XLOOKUP(Orders[[#This Row],[RegionID]],'Regions'!A:A,'Regions'!B:B)</f>
        <v>North West</v>
      </c>
    </row>
    <row r="273" spans="1:14" x14ac:dyDescent="0.25">
      <c r="A273" s="3">
        <v>1272</v>
      </c>
      <c r="B273" s="1">
        <v>45966</v>
      </c>
      <c r="C273" t="str">
        <f t="shared" ref="C273:C313" ca="1" si="9">"C"&amp;TEXT(RANDBETWEEN(1,30),"000")</f>
        <v>C020</v>
      </c>
      <c r="D273" t="str">
        <f t="shared" ref="D273:D313" ca="1" si="10">"P"&amp;TEXT(RANDBETWEEN(1,20),"000")</f>
        <v>P010</v>
      </c>
      <c r="E273" s="3">
        <f t="shared" ref="E273:E313" ca="1" si="11">RANDBETWEEN(1,10)</f>
        <v>10</v>
      </c>
      <c r="F273" s="4">
        <f ca="1">_xlfn.XLOOKUP(Orders[[#This Row],[ProductID]],Products!A:A,Products!D:D)</f>
        <v>39.99</v>
      </c>
      <c r="G273" t="str">
        <f ca="1">_xlfn.XLOOKUP(Orders[[#This Row],[CustomerID]],'Customers'!A:A,'Customers'!F:F)</f>
        <v>R04</v>
      </c>
      <c r="H273" t="str">
        <f>TEXT(Orders[[#This Row],[OrderDate]],"mmm")</f>
        <v>Nov</v>
      </c>
      <c r="I273" s="2">
        <f>YEAR(Orders[[#This Row],[OrderDate]])</f>
        <v>2025</v>
      </c>
      <c r="J273" s="4">
        <f ca="1">Orders[[#This Row],[Quantity]]*Orders[[#This Row],[UnitPrice]]</f>
        <v>399.90000000000003</v>
      </c>
      <c r="K273" s="4" t="str">
        <f ca="1">_xlfn.XLOOKUP(Orders[[#This Row],[CustomerID]],'Customers'!A:A,'Customers'!B:B)</f>
        <v>Ella Lewis</v>
      </c>
      <c r="L273" s="4" t="str">
        <f ca="1">_xlfn.XLOOKUP(Orders[[#This Row],[ProductID]],Products!A:A,Products!B:B)</f>
        <v>Backpack</v>
      </c>
      <c r="M273" s="4" t="str">
        <f ca="1">_xlfn.XLOOKUP(Orders[[#This Row],[ProductID]],Products!A:A,Products!C:C)</f>
        <v>Accessories</v>
      </c>
      <c r="N273" s="4" t="str">
        <f ca="1">_xlfn.XLOOKUP(Orders[[#This Row],[RegionID]],'Regions'!A:A,'Regions'!B:B)</f>
        <v>Yorkshire</v>
      </c>
    </row>
    <row r="274" spans="1:14" x14ac:dyDescent="0.25">
      <c r="A274" s="3">
        <v>1273</v>
      </c>
      <c r="B274" s="1">
        <v>45967</v>
      </c>
      <c r="C274" t="str">
        <f t="shared" ca="1" si="9"/>
        <v>C017</v>
      </c>
      <c r="D274" t="str">
        <f t="shared" ca="1" si="10"/>
        <v>P004</v>
      </c>
      <c r="E274" s="3">
        <f t="shared" ca="1" si="11"/>
        <v>10</v>
      </c>
      <c r="F274" s="4">
        <f ca="1">_xlfn.XLOOKUP(Orders[[#This Row],[ProductID]],Products!A:A,Products!D:D)</f>
        <v>89.99</v>
      </c>
      <c r="G274" t="str">
        <f ca="1">_xlfn.XLOOKUP(Orders[[#This Row],[CustomerID]],'Customers'!A:A,'Customers'!F:F)</f>
        <v>R03</v>
      </c>
      <c r="H274" t="str">
        <f>TEXT(Orders[[#This Row],[OrderDate]],"mmm")</f>
        <v>Nov</v>
      </c>
      <c r="I274" s="2">
        <f>YEAR(Orders[[#This Row],[OrderDate]])</f>
        <v>2025</v>
      </c>
      <c r="J274" s="4">
        <f ca="1">Orders[[#This Row],[Quantity]]*Orders[[#This Row],[UnitPrice]]</f>
        <v>899.9</v>
      </c>
      <c r="K274" s="4" t="str">
        <f ca="1">_xlfn.XLOOKUP(Orders[[#This Row],[CustomerID]],'Customers'!A:A,'Customers'!B:B)</f>
        <v>Leo Robinson</v>
      </c>
      <c r="L274" s="4" t="str">
        <f ca="1">_xlfn.XLOOKUP(Orders[[#This Row],[ProductID]],Products!A:A,Products!B:B)</f>
        <v>Office Chair</v>
      </c>
      <c r="M274" s="4" t="str">
        <f ca="1">_xlfn.XLOOKUP(Orders[[#This Row],[ProductID]],Products!A:A,Products!C:C)</f>
        <v>Furniture</v>
      </c>
      <c r="N274" s="4" t="str">
        <f ca="1">_xlfn.XLOOKUP(Orders[[#This Row],[RegionID]],'Regions'!A:A,'Regions'!B:B)</f>
        <v>Midlands</v>
      </c>
    </row>
    <row r="275" spans="1:14" x14ac:dyDescent="0.25">
      <c r="A275" s="3">
        <v>1274</v>
      </c>
      <c r="B275" s="1">
        <v>45968</v>
      </c>
      <c r="C275" t="str">
        <f t="shared" ca="1" si="9"/>
        <v>C030</v>
      </c>
      <c r="D275" t="str">
        <f t="shared" ca="1" si="10"/>
        <v>P015</v>
      </c>
      <c r="E275" s="3">
        <f t="shared" ca="1" si="11"/>
        <v>10</v>
      </c>
      <c r="F275" s="4">
        <f ca="1">_xlfn.XLOOKUP(Orders[[#This Row],[ProductID]],Products!A:A,Products!D:D)</f>
        <v>79.989999999999995</v>
      </c>
      <c r="G275" t="str">
        <f ca="1">_xlfn.XLOOKUP(Orders[[#This Row],[CustomerID]],'Customers'!A:A,'Customers'!F:F)</f>
        <v>R01</v>
      </c>
      <c r="H275" t="str">
        <f>TEXT(Orders[[#This Row],[OrderDate]],"mmm")</f>
        <v>Nov</v>
      </c>
      <c r="I275" s="2">
        <f>YEAR(Orders[[#This Row],[OrderDate]])</f>
        <v>2025</v>
      </c>
      <c r="J275" s="4">
        <f ca="1">Orders[[#This Row],[Quantity]]*Orders[[#This Row],[UnitPrice]]</f>
        <v>799.9</v>
      </c>
      <c r="K275" s="4" t="str">
        <f ca="1">_xlfn.XLOOKUP(Orders[[#This Row],[CustomerID]],'Customers'!A:A,'Customers'!B:B)</f>
        <v>Sophie Adams</v>
      </c>
      <c r="L275" s="4" t="str">
        <f ca="1">_xlfn.XLOOKUP(Orders[[#This Row],[ProductID]],Products!A:A,Products!B:B)</f>
        <v>Headphones</v>
      </c>
      <c r="M275" s="4" t="str">
        <f ca="1">_xlfn.XLOOKUP(Orders[[#This Row],[ProductID]],Products!A:A,Products!C:C)</f>
        <v>Electronics</v>
      </c>
      <c r="N275" s="4" t="str">
        <f ca="1">_xlfn.XLOOKUP(Orders[[#This Row],[RegionID]],'Regions'!A:A,'Regions'!B:B)</f>
        <v>London</v>
      </c>
    </row>
    <row r="276" spans="1:14" x14ac:dyDescent="0.25">
      <c r="A276" s="3">
        <v>1275</v>
      </c>
      <c r="B276" s="1">
        <v>45971</v>
      </c>
      <c r="C276" t="str">
        <f t="shared" ca="1" si="9"/>
        <v>C023</v>
      </c>
      <c r="D276" t="str">
        <f t="shared" ca="1" si="10"/>
        <v>P014</v>
      </c>
      <c r="E276" s="3">
        <f t="shared" ca="1" si="11"/>
        <v>7</v>
      </c>
      <c r="F276" s="4">
        <f ca="1">_xlfn.XLOOKUP(Orders[[#This Row],[ProductID]],Products!A:A,Products!D:D)</f>
        <v>19.989999999999998</v>
      </c>
      <c r="G276" t="str">
        <f ca="1">_xlfn.XLOOKUP(Orders[[#This Row],[CustomerID]],'Customers'!A:A,'Customers'!F:F)</f>
        <v>R03</v>
      </c>
      <c r="H276" t="str">
        <f>TEXT(Orders[[#This Row],[OrderDate]],"mmm")</f>
        <v>Nov</v>
      </c>
      <c r="I276" s="2">
        <f>YEAR(Orders[[#This Row],[OrderDate]])</f>
        <v>2025</v>
      </c>
      <c r="J276" s="4">
        <f ca="1">Orders[[#This Row],[Quantity]]*Orders[[#This Row],[UnitPrice]]</f>
        <v>139.92999999999998</v>
      </c>
      <c r="K276" s="4" t="str">
        <f ca="1">_xlfn.XLOOKUP(Orders[[#This Row],[CustomerID]],'Customers'!A:A,'Customers'!B:B)</f>
        <v>Arthur Hall</v>
      </c>
      <c r="L276" s="4" t="str">
        <f ca="1">_xlfn.XLOOKUP(Orders[[#This Row],[ProductID]],Products!A:A,Products!B:B)</f>
        <v>Desk Organizer</v>
      </c>
      <c r="M276" s="4" t="str">
        <f ca="1">_xlfn.XLOOKUP(Orders[[#This Row],[ProductID]],Products!A:A,Products!C:C)</f>
        <v>Office Supplies</v>
      </c>
      <c r="N276" s="4" t="str">
        <f ca="1">_xlfn.XLOOKUP(Orders[[#This Row],[RegionID]],'Regions'!A:A,'Regions'!B:B)</f>
        <v>Midlands</v>
      </c>
    </row>
    <row r="277" spans="1:14" x14ac:dyDescent="0.25">
      <c r="A277" s="3">
        <v>1276</v>
      </c>
      <c r="B277" s="1">
        <v>45972</v>
      </c>
      <c r="C277" t="str">
        <f t="shared" ca="1" si="9"/>
        <v>C030</v>
      </c>
      <c r="D277" t="str">
        <f t="shared" ca="1" si="10"/>
        <v>P014</v>
      </c>
      <c r="E277" s="3">
        <f t="shared" ca="1" si="11"/>
        <v>9</v>
      </c>
      <c r="F277" s="4">
        <f ca="1">_xlfn.XLOOKUP(Orders[[#This Row],[ProductID]],Products!A:A,Products!D:D)</f>
        <v>19.989999999999998</v>
      </c>
      <c r="G277" t="str">
        <f ca="1">_xlfn.XLOOKUP(Orders[[#This Row],[CustomerID]],'Customers'!A:A,'Customers'!F:F)</f>
        <v>R01</v>
      </c>
      <c r="H277" t="str">
        <f>TEXT(Orders[[#This Row],[OrderDate]],"mmm")</f>
        <v>Nov</v>
      </c>
      <c r="I277" s="2">
        <f>YEAR(Orders[[#This Row],[OrderDate]])</f>
        <v>2025</v>
      </c>
      <c r="J277" s="4">
        <f ca="1">Orders[[#This Row],[Quantity]]*Orders[[#This Row],[UnitPrice]]</f>
        <v>179.91</v>
      </c>
      <c r="K277" s="4" t="str">
        <f ca="1">_xlfn.XLOOKUP(Orders[[#This Row],[CustomerID]],'Customers'!A:A,'Customers'!B:B)</f>
        <v>Sophie Adams</v>
      </c>
      <c r="L277" s="4" t="str">
        <f ca="1">_xlfn.XLOOKUP(Orders[[#This Row],[ProductID]],Products!A:A,Products!B:B)</f>
        <v>Desk Organizer</v>
      </c>
      <c r="M277" s="4" t="str">
        <f ca="1">_xlfn.XLOOKUP(Orders[[#This Row],[ProductID]],Products!A:A,Products!C:C)</f>
        <v>Office Supplies</v>
      </c>
      <c r="N277" s="4" t="str">
        <f ca="1">_xlfn.XLOOKUP(Orders[[#This Row],[RegionID]],'Regions'!A:A,'Regions'!B:B)</f>
        <v>London</v>
      </c>
    </row>
    <row r="278" spans="1:14" x14ac:dyDescent="0.25">
      <c r="A278" s="3">
        <v>1277</v>
      </c>
      <c r="B278" s="1">
        <v>45973</v>
      </c>
      <c r="C278" t="str">
        <f t="shared" ca="1" si="9"/>
        <v>C024</v>
      </c>
      <c r="D278" t="str">
        <f t="shared" ca="1" si="10"/>
        <v>P013</v>
      </c>
      <c r="E278" s="3">
        <f t="shared" ca="1" si="11"/>
        <v>4</v>
      </c>
      <c r="F278" s="4">
        <f ca="1">_xlfn.XLOOKUP(Orders[[#This Row],[ProductID]],Products!A:A,Products!D:D)</f>
        <v>129.99</v>
      </c>
      <c r="G278" t="str">
        <f ca="1">_xlfn.XLOOKUP(Orders[[#This Row],[CustomerID]],'Customers'!A:A,'Customers'!F:F)</f>
        <v>R01</v>
      </c>
      <c r="H278" t="str">
        <f>TEXT(Orders[[#This Row],[OrderDate]],"mmm")</f>
        <v>Nov</v>
      </c>
      <c r="I278" s="2">
        <f>YEAR(Orders[[#This Row],[OrderDate]])</f>
        <v>2025</v>
      </c>
      <c r="J278" s="4">
        <f ca="1">Orders[[#This Row],[Quantity]]*Orders[[#This Row],[UnitPrice]]</f>
        <v>519.96</v>
      </c>
      <c r="K278" s="4" t="str">
        <f ca="1">_xlfn.XLOOKUP(Orders[[#This Row],[CustomerID]],'Customers'!A:A,'Customers'!B:B)</f>
        <v>Isabella Allen</v>
      </c>
      <c r="L278" s="4" t="str">
        <f ca="1">_xlfn.XLOOKUP(Orders[[#This Row],[ProductID]],Products!A:A,Products!B:B)</f>
        <v>Printer</v>
      </c>
      <c r="M278" s="4" t="str">
        <f ca="1">_xlfn.XLOOKUP(Orders[[#This Row],[ProductID]],Products!A:A,Products!C:C)</f>
        <v>Electronics</v>
      </c>
      <c r="N278" s="4" t="str">
        <f ca="1">_xlfn.XLOOKUP(Orders[[#This Row],[RegionID]],'Regions'!A:A,'Regions'!B:B)</f>
        <v>London</v>
      </c>
    </row>
    <row r="279" spans="1:14" x14ac:dyDescent="0.25">
      <c r="A279" s="3">
        <v>1278</v>
      </c>
      <c r="B279" s="1">
        <v>45974</v>
      </c>
      <c r="C279" t="str">
        <f t="shared" ca="1" si="9"/>
        <v>C002</v>
      </c>
      <c r="D279" t="str">
        <f t="shared" ca="1" si="10"/>
        <v>P014</v>
      </c>
      <c r="E279" s="3">
        <f t="shared" ca="1" si="11"/>
        <v>5</v>
      </c>
      <c r="F279" s="4">
        <f ca="1">_xlfn.XLOOKUP(Orders[[#This Row],[ProductID]],Products!A:A,Products!D:D)</f>
        <v>19.989999999999998</v>
      </c>
      <c r="G279" t="str">
        <f ca="1">_xlfn.XLOOKUP(Orders[[#This Row],[CustomerID]],'Customers'!A:A,'Customers'!F:F)</f>
        <v>R02</v>
      </c>
      <c r="H279" t="str">
        <f>TEXT(Orders[[#This Row],[OrderDate]],"mmm")</f>
        <v>Nov</v>
      </c>
      <c r="I279" s="2">
        <f>YEAR(Orders[[#This Row],[OrderDate]])</f>
        <v>2025</v>
      </c>
      <c r="J279" s="4">
        <f ca="1">Orders[[#This Row],[Quantity]]*Orders[[#This Row],[UnitPrice]]</f>
        <v>99.949999999999989</v>
      </c>
      <c r="K279" s="4" t="str">
        <f ca="1">_xlfn.XLOOKUP(Orders[[#This Row],[CustomerID]],'Customers'!A:A,'Customers'!B:B)</f>
        <v>Emily Johnson</v>
      </c>
      <c r="L279" s="4" t="str">
        <f ca="1">_xlfn.XLOOKUP(Orders[[#This Row],[ProductID]],Products!A:A,Products!B:B)</f>
        <v>Desk Organizer</v>
      </c>
      <c r="M279" s="4" t="str">
        <f ca="1">_xlfn.XLOOKUP(Orders[[#This Row],[ProductID]],Products!A:A,Products!C:C)</f>
        <v>Office Supplies</v>
      </c>
      <c r="N279" s="4" t="str">
        <f ca="1">_xlfn.XLOOKUP(Orders[[#This Row],[RegionID]],'Regions'!A:A,'Regions'!B:B)</f>
        <v>North West</v>
      </c>
    </row>
    <row r="280" spans="1:14" x14ac:dyDescent="0.25">
      <c r="A280" s="3">
        <v>1279</v>
      </c>
      <c r="B280" s="1">
        <v>45975</v>
      </c>
      <c r="C280" t="str">
        <f t="shared" ca="1" si="9"/>
        <v>C002</v>
      </c>
      <c r="D280" t="str">
        <f t="shared" ca="1" si="10"/>
        <v>P004</v>
      </c>
      <c r="E280" s="3">
        <f t="shared" ca="1" si="11"/>
        <v>4</v>
      </c>
      <c r="F280" s="4">
        <f ca="1">_xlfn.XLOOKUP(Orders[[#This Row],[ProductID]],Products!A:A,Products!D:D)</f>
        <v>89.99</v>
      </c>
      <c r="G280" t="str">
        <f ca="1">_xlfn.XLOOKUP(Orders[[#This Row],[CustomerID]],'Customers'!A:A,'Customers'!F:F)</f>
        <v>R02</v>
      </c>
      <c r="H280" t="str">
        <f>TEXT(Orders[[#This Row],[OrderDate]],"mmm")</f>
        <v>Nov</v>
      </c>
      <c r="I280" s="2">
        <f>YEAR(Orders[[#This Row],[OrderDate]])</f>
        <v>2025</v>
      </c>
      <c r="J280" s="4">
        <f ca="1">Orders[[#This Row],[Quantity]]*Orders[[#This Row],[UnitPrice]]</f>
        <v>359.96</v>
      </c>
      <c r="K280" s="4" t="str">
        <f ca="1">_xlfn.XLOOKUP(Orders[[#This Row],[CustomerID]],'Customers'!A:A,'Customers'!B:B)</f>
        <v>Emily Johnson</v>
      </c>
      <c r="L280" s="4" t="str">
        <f ca="1">_xlfn.XLOOKUP(Orders[[#This Row],[ProductID]],Products!A:A,Products!B:B)</f>
        <v>Office Chair</v>
      </c>
      <c r="M280" s="4" t="str">
        <f ca="1">_xlfn.XLOOKUP(Orders[[#This Row],[ProductID]],Products!A:A,Products!C:C)</f>
        <v>Furniture</v>
      </c>
      <c r="N280" s="4" t="str">
        <f ca="1">_xlfn.XLOOKUP(Orders[[#This Row],[RegionID]],'Regions'!A:A,'Regions'!B:B)</f>
        <v>North West</v>
      </c>
    </row>
    <row r="281" spans="1:14" x14ac:dyDescent="0.25">
      <c r="A281" s="3">
        <v>1280</v>
      </c>
      <c r="B281" s="1">
        <v>45978</v>
      </c>
      <c r="C281" t="str">
        <f t="shared" ca="1" si="9"/>
        <v>C001</v>
      </c>
      <c r="D281" t="str">
        <f t="shared" ca="1" si="10"/>
        <v>P015</v>
      </c>
      <c r="E281" s="3">
        <f t="shared" ca="1" si="11"/>
        <v>2</v>
      </c>
      <c r="F281" s="4">
        <f ca="1">_xlfn.XLOOKUP(Orders[[#This Row],[ProductID]],Products!A:A,Products!D:D)</f>
        <v>79.989999999999995</v>
      </c>
      <c r="G281" t="str">
        <f ca="1">_xlfn.XLOOKUP(Orders[[#This Row],[CustomerID]],'Customers'!A:A,'Customers'!F:F)</f>
        <v>R01</v>
      </c>
      <c r="H281" t="str">
        <f>TEXT(Orders[[#This Row],[OrderDate]],"mmm")</f>
        <v>Nov</v>
      </c>
      <c r="I281" s="2">
        <f>YEAR(Orders[[#This Row],[OrderDate]])</f>
        <v>2025</v>
      </c>
      <c r="J281" s="4">
        <f ca="1">Orders[[#This Row],[Quantity]]*Orders[[#This Row],[UnitPrice]]</f>
        <v>159.97999999999999</v>
      </c>
      <c r="K281" s="4" t="str">
        <f ca="1">_xlfn.XLOOKUP(Orders[[#This Row],[CustomerID]],'Customers'!A:A,'Customers'!B:B)</f>
        <v>James Smith</v>
      </c>
      <c r="L281" s="4" t="str">
        <f ca="1">_xlfn.XLOOKUP(Orders[[#This Row],[ProductID]],Products!A:A,Products!B:B)</f>
        <v>Headphones</v>
      </c>
      <c r="M281" s="4" t="str">
        <f ca="1">_xlfn.XLOOKUP(Orders[[#This Row],[ProductID]],Products!A:A,Products!C:C)</f>
        <v>Electronics</v>
      </c>
      <c r="N281" s="4" t="str">
        <f ca="1">_xlfn.XLOOKUP(Orders[[#This Row],[RegionID]],'Regions'!A:A,'Regions'!B:B)</f>
        <v>London</v>
      </c>
    </row>
    <row r="282" spans="1:14" x14ac:dyDescent="0.25">
      <c r="A282" s="3">
        <v>1281</v>
      </c>
      <c r="B282" s="1">
        <v>45979</v>
      </c>
      <c r="C282" t="str">
        <f t="shared" ca="1" si="9"/>
        <v>C027</v>
      </c>
      <c r="D282" t="str">
        <f t="shared" ca="1" si="10"/>
        <v>P011</v>
      </c>
      <c r="E282" s="3">
        <f t="shared" ca="1" si="11"/>
        <v>6</v>
      </c>
      <c r="F282" s="4">
        <f ca="1">_xlfn.XLOOKUP(Orders[[#This Row],[ProductID]],Products!A:A,Products!D:D)</f>
        <v>5.99</v>
      </c>
      <c r="G282" t="str">
        <f ca="1">_xlfn.XLOOKUP(Orders[[#This Row],[CustomerID]],'Customers'!A:A,'Customers'!F:F)</f>
        <v>R04</v>
      </c>
      <c r="H282" t="str">
        <f>TEXT(Orders[[#This Row],[OrderDate]],"mmm")</f>
        <v>Nov</v>
      </c>
      <c r="I282" s="2">
        <f>YEAR(Orders[[#This Row],[OrderDate]])</f>
        <v>2025</v>
      </c>
      <c r="J282" s="4">
        <f ca="1">Orders[[#This Row],[Quantity]]*Orders[[#This Row],[UnitPrice]]</f>
        <v>35.94</v>
      </c>
      <c r="K282" s="4" t="str">
        <f ca="1">_xlfn.XLOOKUP(Orders[[#This Row],[CustomerID]],'Customers'!A:A,'Customers'!B:B)</f>
        <v>Henry Wright</v>
      </c>
      <c r="L282" s="4" t="str">
        <f ca="1">_xlfn.XLOOKUP(Orders[[#This Row],[ProductID]],Products!A:A,Products!B:B)</f>
        <v>Pen Set</v>
      </c>
      <c r="M282" s="4" t="str">
        <f ca="1">_xlfn.XLOOKUP(Orders[[#This Row],[ProductID]],Products!A:A,Products!C:C)</f>
        <v>Stationery</v>
      </c>
      <c r="N282" s="4" t="str">
        <f ca="1">_xlfn.XLOOKUP(Orders[[#This Row],[RegionID]],'Regions'!A:A,'Regions'!B:B)</f>
        <v>Yorkshire</v>
      </c>
    </row>
    <row r="283" spans="1:14" x14ac:dyDescent="0.25">
      <c r="A283" s="3">
        <v>1282</v>
      </c>
      <c r="B283" s="1">
        <v>45980</v>
      </c>
      <c r="C283" t="str">
        <f t="shared" ca="1" si="9"/>
        <v>C022</v>
      </c>
      <c r="D283" t="str">
        <f t="shared" ca="1" si="10"/>
        <v>P010</v>
      </c>
      <c r="E283" s="3">
        <f t="shared" ca="1" si="11"/>
        <v>1</v>
      </c>
      <c r="F283" s="4">
        <f ca="1">_xlfn.XLOOKUP(Orders[[#This Row],[ProductID]],Products!A:A,Products!D:D)</f>
        <v>39.99</v>
      </c>
      <c r="G283" t="str">
        <f ca="1">_xlfn.XLOOKUP(Orders[[#This Row],[CustomerID]],'Customers'!A:A,'Customers'!F:F)</f>
        <v>R03</v>
      </c>
      <c r="H283" t="str">
        <f>TEXT(Orders[[#This Row],[OrderDate]],"mmm")</f>
        <v>Nov</v>
      </c>
      <c r="I283" s="2">
        <f>YEAR(Orders[[#This Row],[OrderDate]])</f>
        <v>2025</v>
      </c>
      <c r="J283" s="4">
        <f ca="1">Orders[[#This Row],[Quantity]]*Orders[[#This Row],[UnitPrice]]</f>
        <v>39.99</v>
      </c>
      <c r="K283" s="4" t="str">
        <f ca="1">_xlfn.XLOOKUP(Orders[[#This Row],[CustomerID]],'Customers'!A:A,'Customers'!B:B)</f>
        <v>Evie Walker</v>
      </c>
      <c r="L283" s="4" t="str">
        <f ca="1">_xlfn.XLOOKUP(Orders[[#This Row],[ProductID]],Products!A:A,Products!B:B)</f>
        <v>Backpack</v>
      </c>
      <c r="M283" s="4" t="str">
        <f ca="1">_xlfn.XLOOKUP(Orders[[#This Row],[ProductID]],Products!A:A,Products!C:C)</f>
        <v>Accessories</v>
      </c>
      <c r="N283" s="4" t="str">
        <f ca="1">_xlfn.XLOOKUP(Orders[[#This Row],[RegionID]],'Regions'!A:A,'Regions'!B:B)</f>
        <v>Midlands</v>
      </c>
    </row>
    <row r="284" spans="1:14" x14ac:dyDescent="0.25">
      <c r="A284" s="3">
        <v>1283</v>
      </c>
      <c r="B284" s="1">
        <v>45981</v>
      </c>
      <c r="C284" t="str">
        <f t="shared" ca="1" si="9"/>
        <v>C016</v>
      </c>
      <c r="D284" t="str">
        <f t="shared" ca="1" si="10"/>
        <v>P007</v>
      </c>
      <c r="E284" s="3">
        <f t="shared" ca="1" si="11"/>
        <v>10</v>
      </c>
      <c r="F284" s="4">
        <f ca="1">_xlfn.XLOOKUP(Orders[[#This Row],[ProductID]],Products!A:A,Products!D:D)</f>
        <v>45.99</v>
      </c>
      <c r="G284" t="str">
        <f ca="1">_xlfn.XLOOKUP(Orders[[#This Row],[CustomerID]],'Customers'!A:A,'Customers'!F:F)</f>
        <v>R01</v>
      </c>
      <c r="H284" t="str">
        <f>TEXT(Orders[[#This Row],[OrderDate]],"mmm")</f>
        <v>Nov</v>
      </c>
      <c r="I284" s="2">
        <f>YEAR(Orders[[#This Row],[OrderDate]])</f>
        <v>2025</v>
      </c>
      <c r="J284" s="4">
        <f ca="1">Orders[[#This Row],[Quantity]]*Orders[[#This Row],[UnitPrice]]</f>
        <v>459.90000000000003</v>
      </c>
      <c r="K284" s="4" t="str">
        <f ca="1">_xlfn.XLOOKUP(Orders[[#This Row],[CustomerID]],'Customers'!A:A,'Customers'!B:B)</f>
        <v>Grace Martinez</v>
      </c>
      <c r="L284" s="4" t="str">
        <f ca="1">_xlfn.XLOOKUP(Orders[[#This Row],[ProductID]],Products!A:A,Products!B:B)</f>
        <v>Bluetooth Keyboard</v>
      </c>
      <c r="M284" s="4" t="str">
        <f ca="1">_xlfn.XLOOKUP(Orders[[#This Row],[ProductID]],Products!A:A,Products!C:C)</f>
        <v>Electronics</v>
      </c>
      <c r="N284" s="4" t="str">
        <f ca="1">_xlfn.XLOOKUP(Orders[[#This Row],[RegionID]],'Regions'!A:A,'Regions'!B:B)</f>
        <v>London</v>
      </c>
    </row>
    <row r="285" spans="1:14" x14ac:dyDescent="0.25">
      <c r="A285" s="3">
        <v>1284</v>
      </c>
      <c r="B285" s="1">
        <v>45982</v>
      </c>
      <c r="C285" t="str">
        <f t="shared" ca="1" si="9"/>
        <v>C022</v>
      </c>
      <c r="D285" t="str">
        <f t="shared" ca="1" si="10"/>
        <v>P001</v>
      </c>
      <c r="E285" s="3">
        <f t="shared" ca="1" si="11"/>
        <v>5</v>
      </c>
      <c r="F285" s="4">
        <f ca="1">_xlfn.XLOOKUP(Orders[[#This Row],[ProductID]],Products!A:A,Products!D:D)</f>
        <v>25.99</v>
      </c>
      <c r="G285" t="str">
        <f ca="1">_xlfn.XLOOKUP(Orders[[#This Row],[CustomerID]],'Customers'!A:A,'Customers'!F:F)</f>
        <v>R03</v>
      </c>
      <c r="H285" t="str">
        <f>TEXT(Orders[[#This Row],[OrderDate]],"mmm")</f>
        <v>Nov</v>
      </c>
      <c r="I285" s="2">
        <f>YEAR(Orders[[#This Row],[OrderDate]])</f>
        <v>2025</v>
      </c>
      <c r="J285" s="4">
        <f ca="1">Orders[[#This Row],[Quantity]]*Orders[[#This Row],[UnitPrice]]</f>
        <v>129.94999999999999</v>
      </c>
      <c r="K285" s="4" t="str">
        <f ca="1">_xlfn.XLOOKUP(Orders[[#This Row],[CustomerID]],'Customers'!A:A,'Customers'!B:B)</f>
        <v>Evie Walker</v>
      </c>
      <c r="L285" s="4" t="str">
        <f ca="1">_xlfn.XLOOKUP(Orders[[#This Row],[ProductID]],Products!A:A,Products!B:B)</f>
        <v>Wireless Mouse</v>
      </c>
      <c r="M285" s="4" t="str">
        <f ca="1">_xlfn.XLOOKUP(Orders[[#This Row],[ProductID]],Products!A:A,Products!C:C)</f>
        <v>Electronics</v>
      </c>
      <c r="N285" s="4" t="str">
        <f ca="1">_xlfn.XLOOKUP(Orders[[#This Row],[RegionID]],'Regions'!A:A,'Regions'!B:B)</f>
        <v>Midlands</v>
      </c>
    </row>
    <row r="286" spans="1:14" x14ac:dyDescent="0.25">
      <c r="A286" s="3">
        <v>1285</v>
      </c>
      <c r="B286" s="1">
        <v>45985</v>
      </c>
      <c r="C286" t="str">
        <f t="shared" ca="1" si="9"/>
        <v>C025</v>
      </c>
      <c r="D286" t="str">
        <f t="shared" ca="1" si="10"/>
        <v>P009</v>
      </c>
      <c r="E286" s="3">
        <f t="shared" ca="1" si="11"/>
        <v>10</v>
      </c>
      <c r="F286" s="4">
        <f ca="1">_xlfn.XLOOKUP(Orders[[#This Row],[ProductID]],Products!A:A,Products!D:D)</f>
        <v>12.99</v>
      </c>
      <c r="G286" t="str">
        <f ca="1">_xlfn.XLOOKUP(Orders[[#This Row],[CustomerID]],'Customers'!A:A,'Customers'!F:F)</f>
        <v>R05</v>
      </c>
      <c r="H286" t="str">
        <f>TEXT(Orders[[#This Row],[OrderDate]],"mmm")</f>
        <v>Nov</v>
      </c>
      <c r="I286" s="2">
        <f>YEAR(Orders[[#This Row],[OrderDate]])</f>
        <v>2025</v>
      </c>
      <c r="J286" s="4">
        <f ca="1">Orders[[#This Row],[Quantity]]*Orders[[#This Row],[UnitPrice]]</f>
        <v>129.9</v>
      </c>
      <c r="K286" s="4" t="str">
        <f ca="1">_xlfn.XLOOKUP(Orders[[#This Row],[CustomerID]],'Customers'!A:A,'Customers'!B:B)</f>
        <v>Theo Young</v>
      </c>
      <c r="L286" s="4" t="str">
        <f ca="1">_xlfn.XLOOKUP(Orders[[#This Row],[ProductID]],Products!A:A,Products!B:B)</f>
        <v>Water Bottle</v>
      </c>
      <c r="M286" s="4" t="str">
        <f ca="1">_xlfn.XLOOKUP(Orders[[#This Row],[ProductID]],Products!A:A,Products!C:C)</f>
        <v>Home</v>
      </c>
      <c r="N286" s="4" t="str">
        <f ca="1">_xlfn.XLOOKUP(Orders[[#This Row],[RegionID]],'Regions'!A:A,'Regions'!B:B)</f>
        <v>Scotland</v>
      </c>
    </row>
    <row r="287" spans="1:14" x14ac:dyDescent="0.25">
      <c r="A287" s="3">
        <v>1286</v>
      </c>
      <c r="B287" s="1">
        <v>45986</v>
      </c>
      <c r="C287" t="str">
        <f t="shared" ca="1" si="9"/>
        <v>C010</v>
      </c>
      <c r="D287" t="str">
        <f t="shared" ca="1" si="10"/>
        <v>P015</v>
      </c>
      <c r="E287" s="3">
        <f t="shared" ca="1" si="11"/>
        <v>9</v>
      </c>
      <c r="F287" s="4">
        <f ca="1">_xlfn.XLOOKUP(Orders[[#This Row],[ProductID]],Products!A:A,Products!D:D)</f>
        <v>79.989999999999995</v>
      </c>
      <c r="G287" t="str">
        <f ca="1">_xlfn.XLOOKUP(Orders[[#This Row],[CustomerID]],'Customers'!A:A,'Customers'!F:F)</f>
        <v>R03</v>
      </c>
      <c r="H287" t="str">
        <f>TEXT(Orders[[#This Row],[OrderDate]],"mmm")</f>
        <v>Nov</v>
      </c>
      <c r="I287" s="2">
        <f>YEAR(Orders[[#This Row],[OrderDate]])</f>
        <v>2025</v>
      </c>
      <c r="J287" s="4">
        <f ca="1">Orders[[#This Row],[Quantity]]*Orders[[#This Row],[UnitPrice]]</f>
        <v>719.91</v>
      </c>
      <c r="K287" s="4" t="str">
        <f ca="1">_xlfn.XLOOKUP(Orders[[#This Row],[CustomerID]],'Customers'!A:A,'Customers'!B:B)</f>
        <v>Ava Thomas</v>
      </c>
      <c r="L287" s="4" t="str">
        <f ca="1">_xlfn.XLOOKUP(Orders[[#This Row],[ProductID]],Products!A:A,Products!B:B)</f>
        <v>Headphones</v>
      </c>
      <c r="M287" s="4" t="str">
        <f ca="1">_xlfn.XLOOKUP(Orders[[#This Row],[ProductID]],Products!A:A,Products!C:C)</f>
        <v>Electronics</v>
      </c>
      <c r="N287" s="4" t="str">
        <f ca="1">_xlfn.XLOOKUP(Orders[[#This Row],[RegionID]],'Regions'!A:A,'Regions'!B:B)</f>
        <v>Midlands</v>
      </c>
    </row>
    <row r="288" spans="1:14" x14ac:dyDescent="0.25">
      <c r="A288" s="3">
        <v>1287</v>
      </c>
      <c r="B288" s="1">
        <v>45987</v>
      </c>
      <c r="C288" t="str">
        <f t="shared" ca="1" si="9"/>
        <v>C006</v>
      </c>
      <c r="D288" t="str">
        <f t="shared" ca="1" si="10"/>
        <v>P005</v>
      </c>
      <c r="E288" s="3">
        <f t="shared" ca="1" si="11"/>
        <v>10</v>
      </c>
      <c r="F288" s="4">
        <f ca="1">_xlfn.XLOOKUP(Orders[[#This Row],[ProductID]],Products!A:A,Products!D:D)</f>
        <v>9.99</v>
      </c>
      <c r="G288" t="str">
        <f ca="1">_xlfn.XLOOKUP(Orders[[#This Row],[CustomerID]],'Customers'!A:A,'Customers'!F:F)</f>
        <v>R03</v>
      </c>
      <c r="H288" t="str">
        <f>TEXT(Orders[[#This Row],[OrderDate]],"mmm")</f>
        <v>Nov</v>
      </c>
      <c r="I288" s="2">
        <f>YEAR(Orders[[#This Row],[OrderDate]])</f>
        <v>2025</v>
      </c>
      <c r="J288" s="4">
        <f ca="1">Orders[[#This Row],[Quantity]]*Orders[[#This Row],[UnitPrice]]</f>
        <v>99.9</v>
      </c>
      <c r="K288" s="4" t="str">
        <f ca="1">_xlfn.XLOOKUP(Orders[[#This Row],[CustomerID]],'Customers'!A:A,'Customers'!B:B)</f>
        <v>Amelia Taylor</v>
      </c>
      <c r="L288" s="4" t="str">
        <f ca="1">_xlfn.XLOOKUP(Orders[[#This Row],[ProductID]],Products!A:A,Products!B:B)</f>
        <v>Coffee Mug</v>
      </c>
      <c r="M288" s="4" t="str">
        <f ca="1">_xlfn.XLOOKUP(Orders[[#This Row],[ProductID]],Products!A:A,Products!C:C)</f>
        <v>Home</v>
      </c>
      <c r="N288" s="4" t="str">
        <f ca="1">_xlfn.XLOOKUP(Orders[[#This Row],[RegionID]],'Regions'!A:A,'Regions'!B:B)</f>
        <v>Midlands</v>
      </c>
    </row>
    <row r="289" spans="1:14" x14ac:dyDescent="0.25">
      <c r="A289" s="3">
        <v>1288</v>
      </c>
      <c r="B289" s="1">
        <v>45988</v>
      </c>
      <c r="C289" t="str">
        <f t="shared" ca="1" si="9"/>
        <v>C007</v>
      </c>
      <c r="D289" t="str">
        <f t="shared" ca="1" si="10"/>
        <v>P008</v>
      </c>
      <c r="E289" s="3">
        <f t="shared" ca="1" si="11"/>
        <v>2</v>
      </c>
      <c r="F289" s="4">
        <f ca="1">_xlfn.XLOOKUP(Orders[[#This Row],[ProductID]],Products!A:A,Products!D:D)</f>
        <v>149.99</v>
      </c>
      <c r="G289" t="str">
        <f ca="1">_xlfn.XLOOKUP(Orders[[#This Row],[CustomerID]],'Customers'!A:A,'Customers'!F:F)</f>
        <v>R05</v>
      </c>
      <c r="H289" t="str">
        <f>TEXT(Orders[[#This Row],[OrderDate]],"mmm")</f>
        <v>Nov</v>
      </c>
      <c r="I289" s="2">
        <f>YEAR(Orders[[#This Row],[OrderDate]])</f>
        <v>2025</v>
      </c>
      <c r="J289" s="4">
        <f ca="1">Orders[[#This Row],[Quantity]]*Orders[[#This Row],[UnitPrice]]</f>
        <v>299.98</v>
      </c>
      <c r="K289" s="4" t="str">
        <f ca="1">_xlfn.XLOOKUP(Orders[[#This Row],[CustomerID]],'Customers'!A:A,'Customers'!B:B)</f>
        <v>Jack Davies</v>
      </c>
      <c r="L289" s="4" t="str">
        <f ca="1">_xlfn.XLOOKUP(Orders[[#This Row],[ProductID]],Products!A:A,Products!B:B)</f>
        <v>Monitor 24 inch</v>
      </c>
      <c r="M289" s="4" t="str">
        <f ca="1">_xlfn.XLOOKUP(Orders[[#This Row],[ProductID]],Products!A:A,Products!C:C)</f>
        <v>Electronics</v>
      </c>
      <c r="N289" s="4" t="str">
        <f ca="1">_xlfn.XLOOKUP(Orders[[#This Row],[RegionID]],'Regions'!A:A,'Regions'!B:B)</f>
        <v>Scotland</v>
      </c>
    </row>
    <row r="290" spans="1:14" x14ac:dyDescent="0.25">
      <c r="A290" s="3">
        <v>1289</v>
      </c>
      <c r="B290" s="1">
        <v>45989</v>
      </c>
      <c r="C290" t="str">
        <f t="shared" ca="1" si="9"/>
        <v>C022</v>
      </c>
      <c r="D290" t="str">
        <f t="shared" ca="1" si="10"/>
        <v>P008</v>
      </c>
      <c r="E290" s="3">
        <f t="shared" ca="1" si="11"/>
        <v>3</v>
      </c>
      <c r="F290" s="4">
        <f ca="1">_xlfn.XLOOKUP(Orders[[#This Row],[ProductID]],Products!A:A,Products!D:D)</f>
        <v>149.99</v>
      </c>
      <c r="G290" t="str">
        <f ca="1">_xlfn.XLOOKUP(Orders[[#This Row],[CustomerID]],'Customers'!A:A,'Customers'!F:F)</f>
        <v>R03</v>
      </c>
      <c r="H290" t="str">
        <f>TEXT(Orders[[#This Row],[OrderDate]],"mmm")</f>
        <v>Nov</v>
      </c>
      <c r="I290" s="2">
        <f>YEAR(Orders[[#This Row],[OrderDate]])</f>
        <v>2025</v>
      </c>
      <c r="J290" s="4">
        <f ca="1">Orders[[#This Row],[Quantity]]*Orders[[#This Row],[UnitPrice]]</f>
        <v>449.97</v>
      </c>
      <c r="K290" s="4" t="str">
        <f ca="1">_xlfn.XLOOKUP(Orders[[#This Row],[CustomerID]],'Customers'!A:A,'Customers'!B:B)</f>
        <v>Evie Walker</v>
      </c>
      <c r="L290" s="4" t="str">
        <f ca="1">_xlfn.XLOOKUP(Orders[[#This Row],[ProductID]],Products!A:A,Products!B:B)</f>
        <v>Monitor 24 inch</v>
      </c>
      <c r="M290" s="4" t="str">
        <f ca="1">_xlfn.XLOOKUP(Orders[[#This Row],[ProductID]],Products!A:A,Products!C:C)</f>
        <v>Electronics</v>
      </c>
      <c r="N290" s="4" t="str">
        <f ca="1">_xlfn.XLOOKUP(Orders[[#This Row],[RegionID]],'Regions'!A:A,'Regions'!B:B)</f>
        <v>Midlands</v>
      </c>
    </row>
    <row r="291" spans="1:14" x14ac:dyDescent="0.25">
      <c r="A291" s="3">
        <v>1290</v>
      </c>
      <c r="B291" s="1">
        <v>45992</v>
      </c>
      <c r="C291" t="str">
        <f t="shared" ca="1" si="9"/>
        <v>C023</v>
      </c>
      <c r="D291" t="str">
        <f t="shared" ca="1" si="10"/>
        <v>P003</v>
      </c>
      <c r="E291" s="3">
        <f t="shared" ca="1" si="11"/>
        <v>8</v>
      </c>
      <c r="F291" s="4">
        <f ca="1">_xlfn.XLOOKUP(Orders[[#This Row],[ProductID]],Products!A:A,Products!D:D)</f>
        <v>199.99</v>
      </c>
      <c r="G291" t="str">
        <f ca="1">_xlfn.XLOOKUP(Orders[[#This Row],[CustomerID]],'Customers'!A:A,'Customers'!F:F)</f>
        <v>R03</v>
      </c>
      <c r="H291" t="str">
        <f>TEXT(Orders[[#This Row],[OrderDate]],"mmm")</f>
        <v>Dec</v>
      </c>
      <c r="I291" s="2">
        <f>YEAR(Orders[[#This Row],[OrderDate]])</f>
        <v>2025</v>
      </c>
      <c r="J291" s="4">
        <f ca="1">Orders[[#This Row],[Quantity]]*Orders[[#This Row],[UnitPrice]]</f>
        <v>1599.92</v>
      </c>
      <c r="K291" s="4" t="str">
        <f ca="1">_xlfn.XLOOKUP(Orders[[#This Row],[CustomerID]],'Customers'!A:A,'Customers'!B:B)</f>
        <v>Arthur Hall</v>
      </c>
      <c r="L291" s="4" t="str">
        <f ca="1">_xlfn.XLOOKUP(Orders[[#This Row],[ProductID]],Products!A:A,Products!B:B)</f>
        <v>Smartphone</v>
      </c>
      <c r="M291" s="4" t="str">
        <f ca="1">_xlfn.XLOOKUP(Orders[[#This Row],[ProductID]],Products!A:A,Products!C:C)</f>
        <v>Electronics</v>
      </c>
      <c r="N291" s="4" t="str">
        <f ca="1">_xlfn.XLOOKUP(Orders[[#This Row],[RegionID]],'Regions'!A:A,'Regions'!B:B)</f>
        <v>Midlands</v>
      </c>
    </row>
    <row r="292" spans="1:14" x14ac:dyDescent="0.25">
      <c r="A292" s="3">
        <v>1291</v>
      </c>
      <c r="B292" s="1">
        <v>45993</v>
      </c>
      <c r="C292" t="str">
        <f t="shared" ca="1" si="9"/>
        <v>C026</v>
      </c>
      <c r="D292" t="str">
        <f t="shared" ca="1" si="10"/>
        <v>P016</v>
      </c>
      <c r="E292" s="3">
        <f t="shared" ca="1" si="11"/>
        <v>6</v>
      </c>
      <c r="F292" s="4">
        <f ca="1">_xlfn.XLOOKUP(Orders[[#This Row],[ProductID]],Products!A:A,Products!D:D)</f>
        <v>399.99</v>
      </c>
      <c r="G292" t="str">
        <f ca="1">_xlfn.XLOOKUP(Orders[[#This Row],[CustomerID]],'Customers'!A:A,'Customers'!F:F)</f>
        <v>R05</v>
      </c>
      <c r="H292" t="str">
        <f>TEXT(Orders[[#This Row],[OrderDate]],"mmm")</f>
        <v>Dec</v>
      </c>
      <c r="I292" s="2">
        <f>YEAR(Orders[[#This Row],[OrderDate]])</f>
        <v>2025</v>
      </c>
      <c r="J292" s="4">
        <f ca="1">Orders[[#This Row],[Quantity]]*Orders[[#This Row],[UnitPrice]]</f>
        <v>2399.94</v>
      </c>
      <c r="K292" s="4" t="str">
        <f ca="1">_xlfn.XLOOKUP(Orders[[#This Row],[CustomerID]],'Customers'!A:A,'Customers'!B:B)</f>
        <v>Poppy King</v>
      </c>
      <c r="L292" s="4" t="str">
        <f ca="1">_xlfn.XLOOKUP(Orders[[#This Row],[ProductID]],Products!A:A,Products!B:B)</f>
        <v>Standing Desk</v>
      </c>
      <c r="M292" s="4" t="str">
        <f ca="1">_xlfn.XLOOKUP(Orders[[#This Row],[ProductID]],Products!A:A,Products!C:C)</f>
        <v>Furniture</v>
      </c>
      <c r="N292" s="4" t="str">
        <f ca="1">_xlfn.XLOOKUP(Orders[[#This Row],[RegionID]],'Regions'!A:A,'Regions'!B:B)</f>
        <v>Scotland</v>
      </c>
    </row>
    <row r="293" spans="1:14" x14ac:dyDescent="0.25">
      <c r="A293" s="3">
        <v>1292</v>
      </c>
      <c r="B293" s="1">
        <v>45994</v>
      </c>
      <c r="C293" t="str">
        <f t="shared" ca="1" si="9"/>
        <v>C020</v>
      </c>
      <c r="D293" t="str">
        <f t="shared" ca="1" si="10"/>
        <v>P003</v>
      </c>
      <c r="E293" s="3">
        <f t="shared" ca="1" si="11"/>
        <v>4</v>
      </c>
      <c r="F293" s="4">
        <f ca="1">_xlfn.XLOOKUP(Orders[[#This Row],[ProductID]],Products!A:A,Products!D:D)</f>
        <v>199.99</v>
      </c>
      <c r="G293" t="str">
        <f ca="1">_xlfn.XLOOKUP(Orders[[#This Row],[CustomerID]],'Customers'!A:A,'Customers'!F:F)</f>
        <v>R04</v>
      </c>
      <c r="H293" t="str">
        <f>TEXT(Orders[[#This Row],[OrderDate]],"mmm")</f>
        <v>Dec</v>
      </c>
      <c r="I293" s="2">
        <f>YEAR(Orders[[#This Row],[OrderDate]])</f>
        <v>2025</v>
      </c>
      <c r="J293" s="4">
        <f ca="1">Orders[[#This Row],[Quantity]]*Orders[[#This Row],[UnitPrice]]</f>
        <v>799.96</v>
      </c>
      <c r="K293" s="4" t="str">
        <f ca="1">_xlfn.XLOOKUP(Orders[[#This Row],[CustomerID]],'Customers'!A:A,'Customers'!B:B)</f>
        <v>Ella Lewis</v>
      </c>
      <c r="L293" s="4" t="str">
        <f ca="1">_xlfn.XLOOKUP(Orders[[#This Row],[ProductID]],Products!A:A,Products!B:B)</f>
        <v>Smartphone</v>
      </c>
      <c r="M293" s="4" t="str">
        <f ca="1">_xlfn.XLOOKUP(Orders[[#This Row],[ProductID]],Products!A:A,Products!C:C)</f>
        <v>Electronics</v>
      </c>
      <c r="N293" s="4" t="str">
        <f ca="1">_xlfn.XLOOKUP(Orders[[#This Row],[RegionID]],'Regions'!A:A,'Regions'!B:B)</f>
        <v>Yorkshire</v>
      </c>
    </row>
    <row r="294" spans="1:14" x14ac:dyDescent="0.25">
      <c r="A294" s="3">
        <v>1293</v>
      </c>
      <c r="B294" s="1">
        <v>45995</v>
      </c>
      <c r="C294" t="str">
        <f t="shared" ca="1" si="9"/>
        <v>C013</v>
      </c>
      <c r="D294" t="str">
        <f t="shared" ca="1" si="10"/>
        <v>P020</v>
      </c>
      <c r="E294" s="3">
        <f t="shared" ca="1" si="11"/>
        <v>2</v>
      </c>
      <c r="F294" s="4">
        <f ca="1">_xlfn.XLOOKUP(Orders[[#This Row],[ProductID]],Products!A:A,Products!D:D)</f>
        <v>14.99</v>
      </c>
      <c r="G294" t="str">
        <f ca="1">_xlfn.XLOOKUP(Orders[[#This Row],[CustomerID]],'Customers'!A:A,'Customers'!F:F)</f>
        <v>R02</v>
      </c>
      <c r="H294" t="str">
        <f>TEXT(Orders[[#This Row],[OrderDate]],"mmm")</f>
        <v>Dec</v>
      </c>
      <c r="I294" s="2">
        <f>YEAR(Orders[[#This Row],[OrderDate]])</f>
        <v>2025</v>
      </c>
      <c r="J294" s="4">
        <f ca="1">Orders[[#This Row],[Quantity]]*Orders[[#This Row],[UnitPrice]]</f>
        <v>29.98</v>
      </c>
      <c r="K294" s="4" t="str">
        <f ca="1">_xlfn.XLOOKUP(Orders[[#This Row],[CustomerID]],'Customers'!A:A,'Customers'!B:B)</f>
        <v>Noah Martin</v>
      </c>
      <c r="L294" s="4" t="str">
        <f ca="1">_xlfn.XLOOKUP(Orders[[#This Row],[ProductID]],Products!A:A,Products!B:B)</f>
        <v>Extension Cable</v>
      </c>
      <c r="M294" s="4" t="str">
        <f ca="1">_xlfn.XLOOKUP(Orders[[#This Row],[ProductID]],Products!A:A,Products!C:C)</f>
        <v>Electronics</v>
      </c>
      <c r="N294" s="4" t="str">
        <f ca="1">_xlfn.XLOOKUP(Orders[[#This Row],[RegionID]],'Regions'!A:A,'Regions'!B:B)</f>
        <v>North West</v>
      </c>
    </row>
    <row r="295" spans="1:14" x14ac:dyDescent="0.25">
      <c r="A295" s="3">
        <v>1294</v>
      </c>
      <c r="B295" s="1">
        <v>45996</v>
      </c>
      <c r="C295" t="str">
        <f t="shared" ca="1" si="9"/>
        <v>C027</v>
      </c>
      <c r="D295" t="str">
        <f t="shared" ca="1" si="10"/>
        <v>P019</v>
      </c>
      <c r="E295" s="3">
        <f t="shared" ca="1" si="11"/>
        <v>1</v>
      </c>
      <c r="F295" s="4">
        <f ca="1">_xlfn.XLOOKUP(Orders[[#This Row],[ProductID]],Products!A:A,Products!D:D)</f>
        <v>59.99</v>
      </c>
      <c r="G295" t="str">
        <f ca="1">_xlfn.XLOOKUP(Orders[[#This Row],[CustomerID]],'Customers'!A:A,'Customers'!F:F)</f>
        <v>R04</v>
      </c>
      <c r="H295" t="str">
        <f>TEXT(Orders[[#This Row],[OrderDate]],"mmm")</f>
        <v>Dec</v>
      </c>
      <c r="I295" s="2">
        <f>YEAR(Orders[[#This Row],[OrderDate]])</f>
        <v>2025</v>
      </c>
      <c r="J295" s="4">
        <f ca="1">Orders[[#This Row],[Quantity]]*Orders[[#This Row],[UnitPrice]]</f>
        <v>59.99</v>
      </c>
      <c r="K295" s="4" t="str">
        <f ca="1">_xlfn.XLOOKUP(Orders[[#This Row],[CustomerID]],'Customers'!A:A,'Customers'!B:B)</f>
        <v>Henry Wright</v>
      </c>
      <c r="L295" s="4" t="str">
        <f ca="1">_xlfn.XLOOKUP(Orders[[#This Row],[ProductID]],Products!A:A,Products!B:B)</f>
        <v>Webcam</v>
      </c>
      <c r="M295" s="4" t="str">
        <f ca="1">_xlfn.XLOOKUP(Orders[[#This Row],[ProductID]],Products!A:A,Products!C:C)</f>
        <v>Electronics</v>
      </c>
      <c r="N295" s="4" t="str">
        <f ca="1">_xlfn.XLOOKUP(Orders[[#This Row],[RegionID]],'Regions'!A:A,'Regions'!B:B)</f>
        <v>Yorkshire</v>
      </c>
    </row>
    <row r="296" spans="1:14" x14ac:dyDescent="0.25">
      <c r="A296" s="3">
        <v>1295</v>
      </c>
      <c r="B296" s="1">
        <v>45999</v>
      </c>
      <c r="C296" t="str">
        <f t="shared" ca="1" si="9"/>
        <v>C024</v>
      </c>
      <c r="D296" t="str">
        <f t="shared" ca="1" si="10"/>
        <v>P001</v>
      </c>
      <c r="E296" s="3">
        <f t="shared" ca="1" si="11"/>
        <v>6</v>
      </c>
      <c r="F296" s="4">
        <f ca="1">_xlfn.XLOOKUP(Orders[[#This Row],[ProductID]],Products!A:A,Products!D:D)</f>
        <v>25.99</v>
      </c>
      <c r="G296" t="str">
        <f ca="1">_xlfn.XLOOKUP(Orders[[#This Row],[CustomerID]],'Customers'!A:A,'Customers'!F:F)</f>
        <v>R01</v>
      </c>
      <c r="H296" t="str">
        <f>TEXT(Orders[[#This Row],[OrderDate]],"mmm")</f>
        <v>Dec</v>
      </c>
      <c r="I296" s="2">
        <f>YEAR(Orders[[#This Row],[OrderDate]])</f>
        <v>2025</v>
      </c>
      <c r="J296" s="4">
        <f ca="1">Orders[[#This Row],[Quantity]]*Orders[[#This Row],[UnitPrice]]</f>
        <v>155.94</v>
      </c>
      <c r="K296" s="4" t="str">
        <f ca="1">_xlfn.XLOOKUP(Orders[[#This Row],[CustomerID]],'Customers'!A:A,'Customers'!B:B)</f>
        <v>Isabella Allen</v>
      </c>
      <c r="L296" s="4" t="str">
        <f ca="1">_xlfn.XLOOKUP(Orders[[#This Row],[ProductID]],Products!A:A,Products!B:B)</f>
        <v>Wireless Mouse</v>
      </c>
      <c r="M296" s="4" t="str">
        <f ca="1">_xlfn.XLOOKUP(Orders[[#This Row],[ProductID]],Products!A:A,Products!C:C)</f>
        <v>Electronics</v>
      </c>
      <c r="N296" s="4" t="str">
        <f ca="1">_xlfn.XLOOKUP(Orders[[#This Row],[RegionID]],'Regions'!A:A,'Regions'!B:B)</f>
        <v>London</v>
      </c>
    </row>
    <row r="297" spans="1:14" x14ac:dyDescent="0.25">
      <c r="A297" s="3">
        <v>1296</v>
      </c>
      <c r="B297" s="1">
        <v>46000</v>
      </c>
      <c r="C297" t="str">
        <f t="shared" ca="1" si="9"/>
        <v>C011</v>
      </c>
      <c r="D297" t="str">
        <f t="shared" ca="1" si="10"/>
        <v>P019</v>
      </c>
      <c r="E297" s="3">
        <f t="shared" ca="1" si="11"/>
        <v>1</v>
      </c>
      <c r="F297" s="4">
        <f ca="1">_xlfn.XLOOKUP(Orders[[#This Row],[ProductID]],Products!A:A,Products!D:D)</f>
        <v>59.99</v>
      </c>
      <c r="G297" t="str">
        <f ca="1">_xlfn.XLOOKUP(Orders[[#This Row],[CustomerID]],'Customers'!A:A,'Customers'!F:F)</f>
        <v>R03</v>
      </c>
      <c r="H297" t="str">
        <f>TEXT(Orders[[#This Row],[OrderDate]],"mmm")</f>
        <v>Dec</v>
      </c>
      <c r="I297" s="2">
        <f>YEAR(Orders[[#This Row],[OrderDate]])</f>
        <v>2025</v>
      </c>
      <c r="J297" s="4">
        <f ca="1">Orders[[#This Row],[Quantity]]*Orders[[#This Row],[UnitPrice]]</f>
        <v>59.99</v>
      </c>
      <c r="K297" s="4" t="str">
        <f ca="1">_xlfn.XLOOKUP(Orders[[#This Row],[CustomerID]],'Customers'!A:A,'Customers'!B:B)</f>
        <v>George White</v>
      </c>
      <c r="L297" s="4" t="str">
        <f ca="1">_xlfn.XLOOKUP(Orders[[#This Row],[ProductID]],Products!A:A,Products!B:B)</f>
        <v>Webcam</v>
      </c>
      <c r="M297" s="4" t="str">
        <f ca="1">_xlfn.XLOOKUP(Orders[[#This Row],[ProductID]],Products!A:A,Products!C:C)</f>
        <v>Electronics</v>
      </c>
      <c r="N297" s="4" t="str">
        <f ca="1">_xlfn.XLOOKUP(Orders[[#This Row],[RegionID]],'Regions'!A:A,'Regions'!B:B)</f>
        <v>Midlands</v>
      </c>
    </row>
    <row r="298" spans="1:14" x14ac:dyDescent="0.25">
      <c r="A298" s="3">
        <v>1297</v>
      </c>
      <c r="B298" s="1">
        <v>46001</v>
      </c>
      <c r="C298" t="str">
        <f t="shared" ca="1" si="9"/>
        <v>C022</v>
      </c>
      <c r="D298" t="str">
        <f t="shared" ca="1" si="10"/>
        <v>P020</v>
      </c>
      <c r="E298" s="3">
        <f t="shared" ca="1" si="11"/>
        <v>4</v>
      </c>
      <c r="F298" s="4">
        <f ca="1">_xlfn.XLOOKUP(Orders[[#This Row],[ProductID]],Products!A:A,Products!D:D)</f>
        <v>14.99</v>
      </c>
      <c r="G298" t="str">
        <f ca="1">_xlfn.XLOOKUP(Orders[[#This Row],[CustomerID]],'Customers'!A:A,'Customers'!F:F)</f>
        <v>R03</v>
      </c>
      <c r="H298" t="str">
        <f>TEXT(Orders[[#This Row],[OrderDate]],"mmm")</f>
        <v>Dec</v>
      </c>
      <c r="I298" s="2">
        <f>YEAR(Orders[[#This Row],[OrderDate]])</f>
        <v>2025</v>
      </c>
      <c r="J298" s="4">
        <f ca="1">Orders[[#This Row],[Quantity]]*Orders[[#This Row],[UnitPrice]]</f>
        <v>59.96</v>
      </c>
      <c r="K298" s="4" t="str">
        <f ca="1">_xlfn.XLOOKUP(Orders[[#This Row],[CustomerID]],'Customers'!A:A,'Customers'!B:B)</f>
        <v>Evie Walker</v>
      </c>
      <c r="L298" s="4" t="str">
        <f ca="1">_xlfn.XLOOKUP(Orders[[#This Row],[ProductID]],Products!A:A,Products!B:B)</f>
        <v>Extension Cable</v>
      </c>
      <c r="M298" s="4" t="str">
        <f ca="1">_xlfn.XLOOKUP(Orders[[#This Row],[ProductID]],Products!A:A,Products!C:C)</f>
        <v>Electronics</v>
      </c>
      <c r="N298" s="4" t="str">
        <f ca="1">_xlfn.XLOOKUP(Orders[[#This Row],[RegionID]],'Regions'!A:A,'Regions'!B:B)</f>
        <v>Midlands</v>
      </c>
    </row>
    <row r="299" spans="1:14" x14ac:dyDescent="0.25">
      <c r="A299" s="3">
        <v>1298</v>
      </c>
      <c r="B299" s="1">
        <v>46002</v>
      </c>
      <c r="C299" t="str">
        <f t="shared" ca="1" si="9"/>
        <v>C019</v>
      </c>
      <c r="D299" t="str">
        <f t="shared" ca="1" si="10"/>
        <v>P011</v>
      </c>
      <c r="E299" s="3">
        <f t="shared" ca="1" si="11"/>
        <v>3</v>
      </c>
      <c r="F299" s="4">
        <f ca="1">_xlfn.XLOOKUP(Orders[[#This Row],[ProductID]],Products!A:A,Products!D:D)</f>
        <v>5.99</v>
      </c>
      <c r="G299" t="str">
        <f ca="1">_xlfn.XLOOKUP(Orders[[#This Row],[CustomerID]],'Customers'!A:A,'Customers'!F:F)</f>
        <v>R02</v>
      </c>
      <c r="H299" t="str">
        <f>TEXT(Orders[[#This Row],[OrderDate]],"mmm")</f>
        <v>Dec</v>
      </c>
      <c r="I299" s="2">
        <f>YEAR(Orders[[#This Row],[OrderDate]])</f>
        <v>2025</v>
      </c>
      <c r="J299" s="4">
        <f ca="1">Orders[[#This Row],[Quantity]]*Orders[[#This Row],[UnitPrice]]</f>
        <v>17.97</v>
      </c>
      <c r="K299" s="4" t="str">
        <f ca="1">_xlfn.XLOOKUP(Orders[[#This Row],[CustomerID]],'Customers'!A:A,'Customers'!B:B)</f>
        <v>Freddie Rodriguez</v>
      </c>
      <c r="L299" s="4" t="str">
        <f ca="1">_xlfn.XLOOKUP(Orders[[#This Row],[ProductID]],Products!A:A,Products!B:B)</f>
        <v>Pen Set</v>
      </c>
      <c r="M299" s="4" t="str">
        <f ca="1">_xlfn.XLOOKUP(Orders[[#This Row],[ProductID]],Products!A:A,Products!C:C)</f>
        <v>Stationery</v>
      </c>
      <c r="N299" s="4" t="str">
        <f ca="1">_xlfn.XLOOKUP(Orders[[#This Row],[RegionID]],'Regions'!A:A,'Regions'!B:B)</f>
        <v>North West</v>
      </c>
    </row>
    <row r="300" spans="1:14" x14ac:dyDescent="0.25">
      <c r="A300" s="3">
        <v>1299</v>
      </c>
      <c r="B300" s="1">
        <v>46003</v>
      </c>
      <c r="C300" t="str">
        <f t="shared" ca="1" si="9"/>
        <v>C010</v>
      </c>
      <c r="D300" t="str">
        <f t="shared" ca="1" si="10"/>
        <v>P009</v>
      </c>
      <c r="E300" s="3">
        <f t="shared" ca="1" si="11"/>
        <v>7</v>
      </c>
      <c r="F300" s="4">
        <f ca="1">_xlfn.XLOOKUP(Orders[[#This Row],[ProductID]],Products!A:A,Products!D:D)</f>
        <v>12.99</v>
      </c>
      <c r="G300" t="str">
        <f ca="1">_xlfn.XLOOKUP(Orders[[#This Row],[CustomerID]],'Customers'!A:A,'Customers'!F:F)</f>
        <v>R03</v>
      </c>
      <c r="H300" t="str">
        <f>TEXT(Orders[[#This Row],[OrderDate]],"mmm")</f>
        <v>Dec</v>
      </c>
      <c r="I300" s="2">
        <f>YEAR(Orders[[#This Row],[OrderDate]])</f>
        <v>2025</v>
      </c>
      <c r="J300" s="4">
        <f ca="1">Orders[[#This Row],[Quantity]]*Orders[[#This Row],[UnitPrice]]</f>
        <v>90.93</v>
      </c>
      <c r="K300" s="4" t="str">
        <f ca="1">_xlfn.XLOOKUP(Orders[[#This Row],[CustomerID]],'Customers'!A:A,'Customers'!B:B)</f>
        <v>Ava Thomas</v>
      </c>
      <c r="L300" s="4" t="str">
        <f ca="1">_xlfn.XLOOKUP(Orders[[#This Row],[ProductID]],Products!A:A,Products!B:B)</f>
        <v>Water Bottle</v>
      </c>
      <c r="M300" s="4" t="str">
        <f ca="1">_xlfn.XLOOKUP(Orders[[#This Row],[ProductID]],Products!A:A,Products!C:C)</f>
        <v>Home</v>
      </c>
      <c r="N300" s="4" t="str">
        <f ca="1">_xlfn.XLOOKUP(Orders[[#This Row],[RegionID]],'Regions'!A:A,'Regions'!B:B)</f>
        <v>Midlands</v>
      </c>
    </row>
    <row r="301" spans="1:14" x14ac:dyDescent="0.25">
      <c r="A301" s="3">
        <v>1300</v>
      </c>
      <c r="B301" s="1">
        <v>46006</v>
      </c>
      <c r="C301" t="str">
        <f t="shared" ca="1" si="9"/>
        <v>C017</v>
      </c>
      <c r="D301" t="str">
        <f t="shared" ca="1" si="10"/>
        <v>P004</v>
      </c>
      <c r="E301" s="3">
        <f t="shared" ca="1" si="11"/>
        <v>8</v>
      </c>
      <c r="F301" s="4">
        <f ca="1">_xlfn.XLOOKUP(Orders[[#This Row],[ProductID]],Products!A:A,Products!D:D)</f>
        <v>89.99</v>
      </c>
      <c r="G301" t="str">
        <f ca="1">_xlfn.XLOOKUP(Orders[[#This Row],[CustomerID]],'Customers'!A:A,'Customers'!F:F)</f>
        <v>R03</v>
      </c>
      <c r="H301" t="str">
        <f>TEXT(Orders[[#This Row],[OrderDate]],"mmm")</f>
        <v>Dec</v>
      </c>
      <c r="I301" s="2">
        <f>YEAR(Orders[[#This Row],[OrderDate]])</f>
        <v>2025</v>
      </c>
      <c r="J301" s="4">
        <f ca="1">Orders[[#This Row],[Quantity]]*Orders[[#This Row],[UnitPrice]]</f>
        <v>719.92</v>
      </c>
      <c r="K301" s="4" t="str">
        <f ca="1">_xlfn.XLOOKUP(Orders[[#This Row],[CustomerID]],'Customers'!A:A,'Customers'!B:B)</f>
        <v>Leo Robinson</v>
      </c>
      <c r="L301" s="4" t="str">
        <f ca="1">_xlfn.XLOOKUP(Orders[[#This Row],[ProductID]],Products!A:A,Products!B:B)</f>
        <v>Office Chair</v>
      </c>
      <c r="M301" s="4" t="str">
        <f ca="1">_xlfn.XLOOKUP(Orders[[#This Row],[ProductID]],Products!A:A,Products!C:C)</f>
        <v>Furniture</v>
      </c>
      <c r="N301" s="4" t="str">
        <f ca="1">_xlfn.XLOOKUP(Orders[[#This Row],[RegionID]],'Regions'!A:A,'Regions'!B:B)</f>
        <v>Midlands</v>
      </c>
    </row>
    <row r="302" spans="1:14" x14ac:dyDescent="0.25">
      <c r="A302" s="3">
        <v>1301</v>
      </c>
      <c r="B302" s="1">
        <v>46007</v>
      </c>
      <c r="C302" t="str">
        <f t="shared" ca="1" si="9"/>
        <v>C023</v>
      </c>
      <c r="D302" t="str">
        <f t="shared" ca="1" si="10"/>
        <v>P004</v>
      </c>
      <c r="E302" s="3">
        <f t="shared" ca="1" si="11"/>
        <v>9</v>
      </c>
      <c r="F302" s="4">
        <f ca="1">_xlfn.XLOOKUP(Orders[[#This Row],[ProductID]],Products!A:A,Products!D:D)</f>
        <v>89.99</v>
      </c>
      <c r="G302" t="str">
        <f ca="1">_xlfn.XLOOKUP(Orders[[#This Row],[CustomerID]],'Customers'!A:A,'Customers'!F:F)</f>
        <v>R03</v>
      </c>
      <c r="H302" t="str">
        <f>TEXT(Orders[[#This Row],[OrderDate]],"mmm")</f>
        <v>Dec</v>
      </c>
      <c r="I302" s="2">
        <f>YEAR(Orders[[#This Row],[OrderDate]])</f>
        <v>2025</v>
      </c>
      <c r="J302" s="4">
        <f ca="1">Orders[[#This Row],[Quantity]]*Orders[[#This Row],[UnitPrice]]</f>
        <v>809.91</v>
      </c>
      <c r="K302" s="4" t="str">
        <f ca="1">_xlfn.XLOOKUP(Orders[[#This Row],[CustomerID]],'Customers'!A:A,'Customers'!B:B)</f>
        <v>Arthur Hall</v>
      </c>
      <c r="L302" s="4" t="str">
        <f ca="1">_xlfn.XLOOKUP(Orders[[#This Row],[ProductID]],Products!A:A,Products!B:B)</f>
        <v>Office Chair</v>
      </c>
      <c r="M302" s="4" t="str">
        <f ca="1">_xlfn.XLOOKUP(Orders[[#This Row],[ProductID]],Products!A:A,Products!C:C)</f>
        <v>Furniture</v>
      </c>
      <c r="N302" s="4" t="str">
        <f ca="1">_xlfn.XLOOKUP(Orders[[#This Row],[RegionID]],'Regions'!A:A,'Regions'!B:B)</f>
        <v>Midlands</v>
      </c>
    </row>
    <row r="303" spans="1:14" x14ac:dyDescent="0.25">
      <c r="A303" s="3">
        <v>1302</v>
      </c>
      <c r="B303" s="1">
        <v>46008</v>
      </c>
      <c r="C303" t="str">
        <f t="shared" ca="1" si="9"/>
        <v>C011</v>
      </c>
      <c r="D303" t="str">
        <f t="shared" ca="1" si="10"/>
        <v>P004</v>
      </c>
      <c r="E303" s="3">
        <f t="shared" ca="1" si="11"/>
        <v>2</v>
      </c>
      <c r="F303" s="4">
        <f ca="1">_xlfn.XLOOKUP(Orders[[#This Row],[ProductID]],Products!A:A,Products!D:D)</f>
        <v>89.99</v>
      </c>
      <c r="G303" t="str">
        <f ca="1">_xlfn.XLOOKUP(Orders[[#This Row],[CustomerID]],'Customers'!A:A,'Customers'!F:F)</f>
        <v>R03</v>
      </c>
      <c r="H303" t="str">
        <f>TEXT(Orders[[#This Row],[OrderDate]],"mmm")</f>
        <v>Dec</v>
      </c>
      <c r="I303" s="2">
        <f>YEAR(Orders[[#This Row],[OrderDate]])</f>
        <v>2025</v>
      </c>
      <c r="J303" s="4">
        <f ca="1">Orders[[#This Row],[Quantity]]*Orders[[#This Row],[UnitPrice]]</f>
        <v>179.98</v>
      </c>
      <c r="K303" s="4" t="str">
        <f ca="1">_xlfn.XLOOKUP(Orders[[#This Row],[CustomerID]],'Customers'!A:A,'Customers'!B:B)</f>
        <v>George White</v>
      </c>
      <c r="L303" s="4" t="str">
        <f ca="1">_xlfn.XLOOKUP(Orders[[#This Row],[ProductID]],Products!A:A,Products!B:B)</f>
        <v>Office Chair</v>
      </c>
      <c r="M303" s="4" t="str">
        <f ca="1">_xlfn.XLOOKUP(Orders[[#This Row],[ProductID]],Products!A:A,Products!C:C)</f>
        <v>Furniture</v>
      </c>
      <c r="N303" s="4" t="str">
        <f ca="1">_xlfn.XLOOKUP(Orders[[#This Row],[RegionID]],'Regions'!A:A,'Regions'!B:B)</f>
        <v>Midlands</v>
      </c>
    </row>
    <row r="304" spans="1:14" x14ac:dyDescent="0.25">
      <c r="A304" s="3">
        <v>1303</v>
      </c>
      <c r="B304" s="1">
        <v>46009</v>
      </c>
      <c r="C304" t="str">
        <f t="shared" ca="1" si="9"/>
        <v>C023</v>
      </c>
      <c r="D304" t="str">
        <f t="shared" ca="1" si="10"/>
        <v>P012</v>
      </c>
      <c r="E304" s="3">
        <f t="shared" ca="1" si="11"/>
        <v>4</v>
      </c>
      <c r="F304" s="4">
        <f ca="1">_xlfn.XLOOKUP(Orders[[#This Row],[ProductID]],Products!A:A,Products!D:D)</f>
        <v>299.99</v>
      </c>
      <c r="G304" t="str">
        <f ca="1">_xlfn.XLOOKUP(Orders[[#This Row],[CustomerID]],'Customers'!A:A,'Customers'!F:F)</f>
        <v>R03</v>
      </c>
      <c r="H304" t="str">
        <f>TEXT(Orders[[#This Row],[OrderDate]],"mmm")</f>
        <v>Dec</v>
      </c>
      <c r="I304" s="2">
        <f>YEAR(Orders[[#This Row],[OrderDate]])</f>
        <v>2025</v>
      </c>
      <c r="J304" s="4">
        <f ca="1">Orders[[#This Row],[Quantity]]*Orders[[#This Row],[UnitPrice]]</f>
        <v>1199.96</v>
      </c>
      <c r="K304" s="4" t="str">
        <f ca="1">_xlfn.XLOOKUP(Orders[[#This Row],[CustomerID]],'Customers'!A:A,'Customers'!B:B)</f>
        <v>Arthur Hall</v>
      </c>
      <c r="L304" s="4" t="str">
        <f ca="1">_xlfn.XLOOKUP(Orders[[#This Row],[ProductID]],Products!A:A,Products!B:B)</f>
        <v>Tablet</v>
      </c>
      <c r="M304" s="4" t="str">
        <f ca="1">_xlfn.XLOOKUP(Orders[[#This Row],[ProductID]],Products!A:A,Products!C:C)</f>
        <v>Electronics</v>
      </c>
      <c r="N304" s="4" t="str">
        <f ca="1">_xlfn.XLOOKUP(Orders[[#This Row],[RegionID]],'Regions'!A:A,'Regions'!B:B)</f>
        <v>Midlands</v>
      </c>
    </row>
    <row r="305" spans="1:14" x14ac:dyDescent="0.25">
      <c r="A305" s="3">
        <v>1304</v>
      </c>
      <c r="B305" s="1">
        <v>46010</v>
      </c>
      <c r="C305" t="str">
        <f t="shared" ca="1" si="9"/>
        <v>C006</v>
      </c>
      <c r="D305" t="str">
        <f t="shared" ca="1" si="10"/>
        <v>P008</v>
      </c>
      <c r="E305" s="3">
        <f t="shared" ca="1" si="11"/>
        <v>10</v>
      </c>
      <c r="F305" s="4">
        <f ca="1">_xlfn.XLOOKUP(Orders[[#This Row],[ProductID]],Products!A:A,Products!D:D)</f>
        <v>149.99</v>
      </c>
      <c r="G305" t="str">
        <f ca="1">_xlfn.XLOOKUP(Orders[[#This Row],[CustomerID]],'Customers'!A:A,'Customers'!F:F)</f>
        <v>R03</v>
      </c>
      <c r="H305" t="str">
        <f>TEXT(Orders[[#This Row],[OrderDate]],"mmm")</f>
        <v>Dec</v>
      </c>
      <c r="I305" s="2">
        <f>YEAR(Orders[[#This Row],[OrderDate]])</f>
        <v>2025</v>
      </c>
      <c r="J305" s="4">
        <f ca="1">Orders[[#This Row],[Quantity]]*Orders[[#This Row],[UnitPrice]]</f>
        <v>1499.9</v>
      </c>
      <c r="K305" s="4" t="str">
        <f ca="1">_xlfn.XLOOKUP(Orders[[#This Row],[CustomerID]],'Customers'!A:A,'Customers'!B:B)</f>
        <v>Amelia Taylor</v>
      </c>
      <c r="L305" s="4" t="str">
        <f ca="1">_xlfn.XLOOKUP(Orders[[#This Row],[ProductID]],Products!A:A,Products!B:B)</f>
        <v>Monitor 24 inch</v>
      </c>
      <c r="M305" s="4" t="str">
        <f ca="1">_xlfn.XLOOKUP(Orders[[#This Row],[ProductID]],Products!A:A,Products!C:C)</f>
        <v>Electronics</v>
      </c>
      <c r="N305" s="4" t="str">
        <f ca="1">_xlfn.XLOOKUP(Orders[[#This Row],[RegionID]],'Regions'!A:A,'Regions'!B:B)</f>
        <v>Midlands</v>
      </c>
    </row>
    <row r="306" spans="1:14" x14ac:dyDescent="0.25">
      <c r="A306" s="3">
        <v>1305</v>
      </c>
      <c r="B306" s="1">
        <v>46013</v>
      </c>
      <c r="C306" t="str">
        <f t="shared" ca="1" si="9"/>
        <v>C026</v>
      </c>
      <c r="D306" t="str">
        <f t="shared" ca="1" si="10"/>
        <v>P015</v>
      </c>
      <c r="E306" s="3">
        <f t="shared" ca="1" si="11"/>
        <v>2</v>
      </c>
      <c r="F306" s="4">
        <f ca="1">_xlfn.XLOOKUP(Orders[[#This Row],[ProductID]],Products!A:A,Products!D:D)</f>
        <v>79.989999999999995</v>
      </c>
      <c r="G306" t="str">
        <f ca="1">_xlfn.XLOOKUP(Orders[[#This Row],[CustomerID]],'Customers'!A:A,'Customers'!F:F)</f>
        <v>R05</v>
      </c>
      <c r="H306" t="str">
        <f>TEXT(Orders[[#This Row],[OrderDate]],"mmm")</f>
        <v>Dec</v>
      </c>
      <c r="I306" s="2">
        <f>YEAR(Orders[[#This Row],[OrderDate]])</f>
        <v>2025</v>
      </c>
      <c r="J306" s="4">
        <f ca="1">Orders[[#This Row],[Quantity]]*Orders[[#This Row],[UnitPrice]]</f>
        <v>159.97999999999999</v>
      </c>
      <c r="K306" s="4" t="str">
        <f ca="1">_xlfn.XLOOKUP(Orders[[#This Row],[CustomerID]],'Customers'!A:A,'Customers'!B:B)</f>
        <v>Poppy King</v>
      </c>
      <c r="L306" s="4" t="str">
        <f ca="1">_xlfn.XLOOKUP(Orders[[#This Row],[ProductID]],Products!A:A,Products!B:B)</f>
        <v>Headphones</v>
      </c>
      <c r="M306" s="4" t="str">
        <f ca="1">_xlfn.XLOOKUP(Orders[[#This Row],[ProductID]],Products!A:A,Products!C:C)</f>
        <v>Electronics</v>
      </c>
      <c r="N306" s="4" t="str">
        <f ca="1">_xlfn.XLOOKUP(Orders[[#This Row],[RegionID]],'Regions'!A:A,'Regions'!B:B)</f>
        <v>Scotland</v>
      </c>
    </row>
    <row r="307" spans="1:14" x14ac:dyDescent="0.25">
      <c r="A307" s="3">
        <v>1306</v>
      </c>
      <c r="B307" s="1">
        <v>46014</v>
      </c>
      <c r="C307" t="str">
        <f t="shared" ca="1" si="9"/>
        <v>C005</v>
      </c>
      <c r="D307" t="str">
        <f t="shared" ca="1" si="10"/>
        <v>P020</v>
      </c>
      <c r="E307" s="3">
        <f t="shared" ca="1" si="11"/>
        <v>9</v>
      </c>
      <c r="F307" s="4">
        <f ca="1">_xlfn.XLOOKUP(Orders[[#This Row],[ProductID]],Products!A:A,Products!D:D)</f>
        <v>14.99</v>
      </c>
      <c r="G307" t="str">
        <f ca="1">_xlfn.XLOOKUP(Orders[[#This Row],[CustomerID]],'Customers'!A:A,'Customers'!F:F)</f>
        <v>R02</v>
      </c>
      <c r="H307" t="str">
        <f>TEXT(Orders[[#This Row],[OrderDate]],"mmm")</f>
        <v>Dec</v>
      </c>
      <c r="I307" s="2">
        <f>YEAR(Orders[[#This Row],[OrderDate]])</f>
        <v>2025</v>
      </c>
      <c r="J307" s="4">
        <f ca="1">Orders[[#This Row],[Quantity]]*Orders[[#This Row],[UnitPrice]]</f>
        <v>134.91</v>
      </c>
      <c r="K307" s="4" t="str">
        <f ca="1">_xlfn.XLOOKUP(Orders[[#This Row],[CustomerID]],'Customers'!A:A,'Customers'!B:B)</f>
        <v>Harry Jones</v>
      </c>
      <c r="L307" s="4" t="str">
        <f ca="1">_xlfn.XLOOKUP(Orders[[#This Row],[ProductID]],Products!A:A,Products!B:B)</f>
        <v>Extension Cable</v>
      </c>
      <c r="M307" s="4" t="str">
        <f ca="1">_xlfn.XLOOKUP(Orders[[#This Row],[ProductID]],Products!A:A,Products!C:C)</f>
        <v>Electronics</v>
      </c>
      <c r="N307" s="4" t="str">
        <f ca="1">_xlfn.XLOOKUP(Orders[[#This Row],[RegionID]],'Regions'!A:A,'Regions'!B:B)</f>
        <v>North West</v>
      </c>
    </row>
    <row r="308" spans="1:14" x14ac:dyDescent="0.25">
      <c r="A308" s="3">
        <v>1307</v>
      </c>
      <c r="B308" s="1">
        <v>46015</v>
      </c>
      <c r="C308" t="str">
        <f t="shared" ca="1" si="9"/>
        <v>C001</v>
      </c>
      <c r="D308" t="str">
        <f t="shared" ca="1" si="10"/>
        <v>P012</v>
      </c>
      <c r="E308" s="3">
        <f t="shared" ca="1" si="11"/>
        <v>1</v>
      </c>
      <c r="F308" s="4">
        <f ca="1">_xlfn.XLOOKUP(Orders[[#This Row],[ProductID]],Products!A:A,Products!D:D)</f>
        <v>299.99</v>
      </c>
      <c r="G308" t="str">
        <f ca="1">_xlfn.XLOOKUP(Orders[[#This Row],[CustomerID]],'Customers'!A:A,'Customers'!F:F)</f>
        <v>R01</v>
      </c>
      <c r="H308" t="str">
        <f>TEXT(Orders[[#This Row],[OrderDate]],"mmm")</f>
        <v>Dec</v>
      </c>
      <c r="I308" s="2">
        <f>YEAR(Orders[[#This Row],[OrderDate]])</f>
        <v>2025</v>
      </c>
      <c r="J308" s="4">
        <f ca="1">Orders[[#This Row],[Quantity]]*Orders[[#This Row],[UnitPrice]]</f>
        <v>299.99</v>
      </c>
      <c r="K308" s="4" t="str">
        <f ca="1">_xlfn.XLOOKUP(Orders[[#This Row],[CustomerID]],'Customers'!A:A,'Customers'!B:B)</f>
        <v>James Smith</v>
      </c>
      <c r="L308" s="4" t="str">
        <f ca="1">_xlfn.XLOOKUP(Orders[[#This Row],[ProductID]],Products!A:A,Products!B:B)</f>
        <v>Tablet</v>
      </c>
      <c r="M308" s="4" t="str">
        <f ca="1">_xlfn.XLOOKUP(Orders[[#This Row],[ProductID]],Products!A:A,Products!C:C)</f>
        <v>Electronics</v>
      </c>
      <c r="N308" s="4" t="str">
        <f ca="1">_xlfn.XLOOKUP(Orders[[#This Row],[RegionID]],'Regions'!A:A,'Regions'!B:B)</f>
        <v>London</v>
      </c>
    </row>
    <row r="309" spans="1:14" x14ac:dyDescent="0.25">
      <c r="A309" s="3">
        <v>1308</v>
      </c>
      <c r="B309" s="1">
        <v>46016</v>
      </c>
      <c r="C309" t="str">
        <f t="shared" ca="1" si="9"/>
        <v>C027</v>
      </c>
      <c r="D309" t="str">
        <f t="shared" ca="1" si="10"/>
        <v>P014</v>
      </c>
      <c r="E309" s="3">
        <f t="shared" ca="1" si="11"/>
        <v>4</v>
      </c>
      <c r="F309" s="4">
        <f ca="1">_xlfn.XLOOKUP(Orders[[#This Row],[ProductID]],Products!A:A,Products!D:D)</f>
        <v>19.989999999999998</v>
      </c>
      <c r="G309" t="str">
        <f ca="1">_xlfn.XLOOKUP(Orders[[#This Row],[CustomerID]],'Customers'!A:A,'Customers'!F:F)</f>
        <v>R04</v>
      </c>
      <c r="H309" t="str">
        <f>TEXT(Orders[[#This Row],[OrderDate]],"mmm")</f>
        <v>Dec</v>
      </c>
      <c r="I309" s="2">
        <f>YEAR(Orders[[#This Row],[OrderDate]])</f>
        <v>2025</v>
      </c>
      <c r="J309" s="4">
        <f ca="1">Orders[[#This Row],[Quantity]]*Orders[[#This Row],[UnitPrice]]</f>
        <v>79.959999999999994</v>
      </c>
      <c r="K309" s="4" t="str">
        <f ca="1">_xlfn.XLOOKUP(Orders[[#This Row],[CustomerID]],'Customers'!A:A,'Customers'!B:B)</f>
        <v>Henry Wright</v>
      </c>
      <c r="L309" s="4" t="str">
        <f ca="1">_xlfn.XLOOKUP(Orders[[#This Row],[ProductID]],Products!A:A,Products!B:B)</f>
        <v>Desk Organizer</v>
      </c>
      <c r="M309" s="4" t="str">
        <f ca="1">_xlfn.XLOOKUP(Orders[[#This Row],[ProductID]],Products!A:A,Products!C:C)</f>
        <v>Office Supplies</v>
      </c>
      <c r="N309" s="4" t="str">
        <f ca="1">_xlfn.XLOOKUP(Orders[[#This Row],[RegionID]],'Regions'!A:A,'Regions'!B:B)</f>
        <v>Yorkshire</v>
      </c>
    </row>
    <row r="310" spans="1:14" x14ac:dyDescent="0.25">
      <c r="A310" s="3">
        <v>1309</v>
      </c>
      <c r="B310" s="1">
        <v>46017</v>
      </c>
      <c r="C310" t="str">
        <f t="shared" ca="1" si="9"/>
        <v>C023</v>
      </c>
      <c r="D310" t="str">
        <f t="shared" ca="1" si="10"/>
        <v>P009</v>
      </c>
      <c r="E310" s="3">
        <f t="shared" ca="1" si="11"/>
        <v>5</v>
      </c>
      <c r="F310" s="4">
        <f ca="1">_xlfn.XLOOKUP(Orders[[#This Row],[ProductID]],Products!A:A,Products!D:D)</f>
        <v>12.99</v>
      </c>
      <c r="G310" t="str">
        <f ca="1">_xlfn.XLOOKUP(Orders[[#This Row],[CustomerID]],'Customers'!A:A,'Customers'!F:F)</f>
        <v>R03</v>
      </c>
      <c r="H310" t="str">
        <f>TEXT(Orders[[#This Row],[OrderDate]],"mmm")</f>
        <v>Dec</v>
      </c>
      <c r="I310" s="2">
        <f>YEAR(Orders[[#This Row],[OrderDate]])</f>
        <v>2025</v>
      </c>
      <c r="J310" s="4">
        <f ca="1">Orders[[#This Row],[Quantity]]*Orders[[#This Row],[UnitPrice]]</f>
        <v>64.95</v>
      </c>
      <c r="K310" s="4" t="str">
        <f ca="1">_xlfn.XLOOKUP(Orders[[#This Row],[CustomerID]],'Customers'!A:A,'Customers'!B:B)</f>
        <v>Arthur Hall</v>
      </c>
      <c r="L310" s="4" t="str">
        <f ca="1">_xlfn.XLOOKUP(Orders[[#This Row],[ProductID]],Products!A:A,Products!B:B)</f>
        <v>Water Bottle</v>
      </c>
      <c r="M310" s="4" t="str">
        <f ca="1">_xlfn.XLOOKUP(Orders[[#This Row],[ProductID]],Products!A:A,Products!C:C)</f>
        <v>Home</v>
      </c>
      <c r="N310" s="4" t="str">
        <f ca="1">_xlfn.XLOOKUP(Orders[[#This Row],[RegionID]],'Regions'!A:A,'Regions'!B:B)</f>
        <v>Midlands</v>
      </c>
    </row>
    <row r="311" spans="1:14" x14ac:dyDescent="0.25">
      <c r="A311" s="3">
        <v>1310</v>
      </c>
      <c r="B311" s="1">
        <v>46020</v>
      </c>
      <c r="C311" t="str">
        <f t="shared" ca="1" si="9"/>
        <v>C010</v>
      </c>
      <c r="D311" t="str">
        <f t="shared" ca="1" si="10"/>
        <v>P011</v>
      </c>
      <c r="E311" s="3">
        <f t="shared" ca="1" si="11"/>
        <v>8</v>
      </c>
      <c r="F311" s="4">
        <f ca="1">_xlfn.XLOOKUP(Orders[[#This Row],[ProductID]],Products!A:A,Products!D:D)</f>
        <v>5.99</v>
      </c>
      <c r="G311" t="str">
        <f ca="1">_xlfn.XLOOKUP(Orders[[#This Row],[CustomerID]],'Customers'!A:A,'Customers'!F:F)</f>
        <v>R03</v>
      </c>
      <c r="H311" t="str">
        <f>TEXT(Orders[[#This Row],[OrderDate]],"mmm")</f>
        <v>Dec</v>
      </c>
      <c r="I311" s="2">
        <f>YEAR(Orders[[#This Row],[OrderDate]])</f>
        <v>2025</v>
      </c>
      <c r="J311" s="4">
        <f ca="1">Orders[[#This Row],[Quantity]]*Orders[[#This Row],[UnitPrice]]</f>
        <v>47.92</v>
      </c>
      <c r="K311" s="4" t="str">
        <f ca="1">_xlfn.XLOOKUP(Orders[[#This Row],[CustomerID]],'Customers'!A:A,'Customers'!B:B)</f>
        <v>Ava Thomas</v>
      </c>
      <c r="L311" s="4" t="str">
        <f ca="1">_xlfn.XLOOKUP(Orders[[#This Row],[ProductID]],Products!A:A,Products!B:B)</f>
        <v>Pen Set</v>
      </c>
      <c r="M311" s="4" t="str">
        <f ca="1">_xlfn.XLOOKUP(Orders[[#This Row],[ProductID]],Products!A:A,Products!C:C)</f>
        <v>Stationery</v>
      </c>
      <c r="N311" s="4" t="str">
        <f ca="1">_xlfn.XLOOKUP(Orders[[#This Row],[RegionID]],'Regions'!A:A,'Regions'!B:B)</f>
        <v>Midlands</v>
      </c>
    </row>
    <row r="312" spans="1:14" x14ac:dyDescent="0.25">
      <c r="A312" s="3">
        <v>1311</v>
      </c>
      <c r="B312" s="1">
        <v>46021</v>
      </c>
      <c r="C312" t="str">
        <f t="shared" ca="1" si="9"/>
        <v>C014</v>
      </c>
      <c r="D312" t="str">
        <f t="shared" ca="1" si="10"/>
        <v>P012</v>
      </c>
      <c r="E312" s="3">
        <f t="shared" ca="1" si="11"/>
        <v>3</v>
      </c>
      <c r="F312" s="4">
        <f ca="1">_xlfn.XLOOKUP(Orders[[#This Row],[ProductID]],Products!A:A,Products!D:D)</f>
        <v>299.99</v>
      </c>
      <c r="G312" t="str">
        <f ca="1">_xlfn.XLOOKUP(Orders[[#This Row],[CustomerID]],'Customers'!A:A,'Customers'!F:F)</f>
        <v>R02</v>
      </c>
      <c r="H312" t="str">
        <f>TEXT(Orders[[#This Row],[OrderDate]],"mmm")</f>
        <v>Dec</v>
      </c>
      <c r="I312" s="2">
        <f>YEAR(Orders[[#This Row],[OrderDate]])</f>
        <v>2025</v>
      </c>
      <c r="J312" s="4">
        <f ca="1">Orders[[#This Row],[Quantity]]*Orders[[#This Row],[UnitPrice]]</f>
        <v>899.97</v>
      </c>
      <c r="K312" s="4" t="str">
        <f ca="1">_xlfn.XLOOKUP(Orders[[#This Row],[CustomerID]],'Customers'!A:A,'Customers'!B:B)</f>
        <v>Lily Thompson</v>
      </c>
      <c r="L312" s="4" t="str">
        <f ca="1">_xlfn.XLOOKUP(Orders[[#This Row],[ProductID]],Products!A:A,Products!B:B)</f>
        <v>Tablet</v>
      </c>
      <c r="M312" s="4" t="str">
        <f ca="1">_xlfn.XLOOKUP(Orders[[#This Row],[ProductID]],Products!A:A,Products!C:C)</f>
        <v>Electronics</v>
      </c>
      <c r="N312" s="4" t="str">
        <f ca="1">_xlfn.XLOOKUP(Orders[[#This Row],[RegionID]],'Regions'!A:A,'Regions'!B:B)</f>
        <v>North West</v>
      </c>
    </row>
    <row r="313" spans="1:14" x14ac:dyDescent="0.25">
      <c r="A313" s="3">
        <v>1312</v>
      </c>
      <c r="B313" s="1">
        <v>46022</v>
      </c>
      <c r="C313" t="str">
        <f t="shared" ca="1" si="9"/>
        <v>C016</v>
      </c>
      <c r="D313" t="str">
        <f t="shared" ca="1" si="10"/>
        <v>P011</v>
      </c>
      <c r="E313" s="3">
        <f t="shared" ca="1" si="11"/>
        <v>3</v>
      </c>
      <c r="F313" s="4">
        <f ca="1">_xlfn.XLOOKUP(Orders[[#This Row],[ProductID]],Products!A:A,Products!D:D)</f>
        <v>5.99</v>
      </c>
      <c r="G313" t="str">
        <f ca="1">_xlfn.XLOOKUP(Orders[[#This Row],[CustomerID]],'Customers'!A:A,'Customers'!F:F)</f>
        <v>R01</v>
      </c>
      <c r="H313" t="str">
        <f>TEXT(Orders[[#This Row],[OrderDate]],"mmm")</f>
        <v>Dec</v>
      </c>
      <c r="I313" s="2">
        <f>YEAR(Orders[[#This Row],[OrderDate]])</f>
        <v>2025</v>
      </c>
      <c r="J313" s="4">
        <f ca="1">Orders[[#This Row],[Quantity]]*Orders[[#This Row],[UnitPrice]]</f>
        <v>17.97</v>
      </c>
      <c r="K313" s="4" t="str">
        <f ca="1">_xlfn.XLOOKUP(Orders[[#This Row],[CustomerID]],'Customers'!A:A,'Customers'!B:B)</f>
        <v>Grace Martinez</v>
      </c>
      <c r="L313" s="4" t="str">
        <f ca="1">_xlfn.XLOOKUP(Orders[[#This Row],[ProductID]],Products!A:A,Products!B:B)</f>
        <v>Pen Set</v>
      </c>
      <c r="M313" s="4" t="str">
        <f ca="1">_xlfn.XLOOKUP(Orders[[#This Row],[ProductID]],Products!A:A,Products!C:C)</f>
        <v>Stationery</v>
      </c>
      <c r="N313" s="4" t="str">
        <f ca="1">_xlfn.XLOOKUP(Orders[[#This Row],[RegionID]],'Regions'!A:A,'Regions'!B:B)</f>
        <v>London</v>
      </c>
    </row>
    <row r="314" spans="1:14" x14ac:dyDescent="0.25">
      <c r="B314" s="1"/>
    </row>
    <row r="315" spans="1:14" x14ac:dyDescent="0.25">
      <c r="B315" s="1"/>
    </row>
    <row r="316" spans="1:14" x14ac:dyDescent="0.25">
      <c r="B316" s="1"/>
    </row>
    <row r="317" spans="1:14" x14ac:dyDescent="0.25">
      <c r="B317" s="1"/>
    </row>
    <row r="318" spans="1:14" x14ac:dyDescent="0.25">
      <c r="B318" s="1"/>
    </row>
    <row r="319" spans="1:14" x14ac:dyDescent="0.25">
      <c r="B319" s="1"/>
    </row>
    <row r="320" spans="1:14" x14ac:dyDescent="0.25">
      <c r="B320" s="1"/>
    </row>
    <row r="321" spans="2:2" x14ac:dyDescent="0.25">
      <c r="B321" s="1"/>
    </row>
    <row r="322" spans="2:2" x14ac:dyDescent="0.25">
      <c r="B322" s="1"/>
    </row>
    <row r="323" spans="2:2" x14ac:dyDescent="0.25">
      <c r="B323" s="1"/>
    </row>
    <row r="324" spans="2:2" x14ac:dyDescent="0.25">
      <c r="B324" s="1"/>
    </row>
    <row r="325" spans="2:2" x14ac:dyDescent="0.25">
      <c r="B325" s="1"/>
    </row>
    <row r="326" spans="2:2" x14ac:dyDescent="0.25">
      <c r="B326" s="1"/>
    </row>
    <row r="327" spans="2:2" x14ac:dyDescent="0.25">
      <c r="B327" s="1"/>
    </row>
    <row r="328" spans="2:2" x14ac:dyDescent="0.25">
      <c r="B328" s="1"/>
    </row>
    <row r="329" spans="2:2" x14ac:dyDescent="0.25">
      <c r="B329" s="1"/>
    </row>
    <row r="330" spans="2:2" x14ac:dyDescent="0.25">
      <c r="B330" s="1"/>
    </row>
    <row r="331" spans="2:2" x14ac:dyDescent="0.25">
      <c r="B331" s="1"/>
    </row>
    <row r="332" spans="2:2" x14ac:dyDescent="0.25">
      <c r="B332" s="1"/>
    </row>
    <row r="333" spans="2:2" x14ac:dyDescent="0.25">
      <c r="B333" s="1"/>
    </row>
    <row r="334" spans="2:2" x14ac:dyDescent="0.25">
      <c r="B334" s="1"/>
    </row>
    <row r="335" spans="2:2" x14ac:dyDescent="0.25">
      <c r="B335" s="1"/>
    </row>
    <row r="336" spans="2:2" x14ac:dyDescent="0.25">
      <c r="B336" s="1"/>
    </row>
    <row r="337" spans="2:2" x14ac:dyDescent="0.25">
      <c r="B337" s="1"/>
    </row>
    <row r="338" spans="2:2" x14ac:dyDescent="0.25">
      <c r="B338" s="1"/>
    </row>
    <row r="339" spans="2:2" x14ac:dyDescent="0.25">
      <c r="B339" s="1"/>
    </row>
    <row r="340" spans="2:2" x14ac:dyDescent="0.25">
      <c r="B340" s="1"/>
    </row>
    <row r="341" spans="2:2" x14ac:dyDescent="0.25">
      <c r="B341" s="1"/>
    </row>
    <row r="342" spans="2:2" x14ac:dyDescent="0.25">
      <c r="B342" s="1"/>
    </row>
    <row r="343" spans="2:2" x14ac:dyDescent="0.25">
      <c r="B343" s="1"/>
    </row>
    <row r="344" spans="2:2" x14ac:dyDescent="0.25">
      <c r="B344" s="1"/>
    </row>
    <row r="345" spans="2:2" x14ac:dyDescent="0.25">
      <c r="B345" s="1"/>
    </row>
    <row r="346" spans="2:2" x14ac:dyDescent="0.25">
      <c r="B346" s="1"/>
    </row>
    <row r="347" spans="2:2" x14ac:dyDescent="0.25">
      <c r="B347" s="1"/>
    </row>
    <row r="348" spans="2:2" x14ac:dyDescent="0.25">
      <c r="B348" s="1"/>
    </row>
    <row r="349" spans="2:2" x14ac:dyDescent="0.25">
      <c r="B349" s="1"/>
    </row>
    <row r="350" spans="2:2" x14ac:dyDescent="0.25">
      <c r="B350" s="1"/>
    </row>
    <row r="351" spans="2:2" x14ac:dyDescent="0.25">
      <c r="B351" s="1"/>
    </row>
    <row r="352" spans="2:2" x14ac:dyDescent="0.25">
      <c r="B352" s="1"/>
    </row>
    <row r="353" spans="2:2" x14ac:dyDescent="0.25">
      <c r="B353" s="1"/>
    </row>
    <row r="354" spans="2:2" x14ac:dyDescent="0.25">
      <c r="B354" s="1"/>
    </row>
    <row r="355" spans="2:2" x14ac:dyDescent="0.25">
      <c r="B355" s="1"/>
    </row>
    <row r="356" spans="2:2" x14ac:dyDescent="0.25">
      <c r="B356" s="1"/>
    </row>
    <row r="357" spans="2:2" x14ac:dyDescent="0.25">
      <c r="B357" s="1"/>
    </row>
    <row r="358" spans="2:2" x14ac:dyDescent="0.25">
      <c r="B358" s="1"/>
    </row>
    <row r="359" spans="2:2" x14ac:dyDescent="0.25">
      <c r="B359" s="1"/>
    </row>
    <row r="360" spans="2:2" x14ac:dyDescent="0.25">
      <c r="B360" s="1"/>
    </row>
    <row r="361" spans="2:2" x14ac:dyDescent="0.25">
      <c r="B361" s="1"/>
    </row>
    <row r="362" spans="2:2" x14ac:dyDescent="0.25">
      <c r="B362" s="1"/>
    </row>
    <row r="363" spans="2:2" x14ac:dyDescent="0.25">
      <c r="B363" s="1"/>
    </row>
    <row r="364" spans="2:2" x14ac:dyDescent="0.25">
      <c r="B364" s="1"/>
    </row>
    <row r="365" spans="2:2" x14ac:dyDescent="0.25">
      <c r="B365" s="1"/>
    </row>
    <row r="366" spans="2:2" x14ac:dyDescent="0.25">
      <c r="B366" s="1"/>
    </row>
    <row r="367" spans="2:2" x14ac:dyDescent="0.25">
      <c r="B367" s="1"/>
    </row>
    <row r="368" spans="2:2" x14ac:dyDescent="0.25">
      <c r="B368" s="1"/>
    </row>
    <row r="369" spans="2:2" x14ac:dyDescent="0.25">
      <c r="B369" s="1"/>
    </row>
    <row r="370" spans="2:2" x14ac:dyDescent="0.25">
      <c r="B370" s="1"/>
    </row>
    <row r="371" spans="2:2" x14ac:dyDescent="0.25">
      <c r="B371" s="1"/>
    </row>
    <row r="372" spans="2:2" x14ac:dyDescent="0.25">
      <c r="B372" s="1"/>
    </row>
    <row r="373" spans="2:2" x14ac:dyDescent="0.25">
      <c r="B373" s="1"/>
    </row>
    <row r="374" spans="2:2" x14ac:dyDescent="0.25">
      <c r="B374" s="1"/>
    </row>
    <row r="375" spans="2:2" x14ac:dyDescent="0.25">
      <c r="B375" s="1"/>
    </row>
    <row r="376" spans="2:2" x14ac:dyDescent="0.25">
      <c r="B376" s="1"/>
    </row>
    <row r="377" spans="2:2" x14ac:dyDescent="0.25">
      <c r="B377" s="1"/>
    </row>
    <row r="378" spans="2:2" x14ac:dyDescent="0.25">
      <c r="B378" s="1"/>
    </row>
    <row r="379" spans="2:2" x14ac:dyDescent="0.25">
      <c r="B379" s="1"/>
    </row>
    <row r="380" spans="2:2" x14ac:dyDescent="0.25">
      <c r="B380" s="1"/>
    </row>
    <row r="381" spans="2:2" x14ac:dyDescent="0.25">
      <c r="B381" s="1"/>
    </row>
    <row r="382" spans="2:2" x14ac:dyDescent="0.25">
      <c r="B382" s="1"/>
    </row>
    <row r="383" spans="2:2" x14ac:dyDescent="0.25">
      <c r="B383" s="1"/>
    </row>
    <row r="384" spans="2:2" x14ac:dyDescent="0.25">
      <c r="B384" s="1"/>
    </row>
    <row r="385" spans="2:2" x14ac:dyDescent="0.25">
      <c r="B385" s="1"/>
    </row>
    <row r="386" spans="2:2" x14ac:dyDescent="0.25">
      <c r="B386" s="1"/>
    </row>
    <row r="387" spans="2:2" x14ac:dyDescent="0.25">
      <c r="B387" s="1"/>
    </row>
    <row r="388" spans="2:2" x14ac:dyDescent="0.25">
      <c r="B388" s="1"/>
    </row>
    <row r="389" spans="2:2" x14ac:dyDescent="0.25">
      <c r="B389" s="1"/>
    </row>
    <row r="390" spans="2:2" x14ac:dyDescent="0.25">
      <c r="B390" s="1"/>
    </row>
    <row r="391" spans="2:2" x14ac:dyDescent="0.25">
      <c r="B391" s="1"/>
    </row>
    <row r="392" spans="2:2" x14ac:dyDescent="0.25">
      <c r="B392" s="1"/>
    </row>
    <row r="393" spans="2:2" x14ac:dyDescent="0.25">
      <c r="B393" s="1"/>
    </row>
    <row r="394" spans="2:2" x14ac:dyDescent="0.25">
      <c r="B394" s="1"/>
    </row>
    <row r="395" spans="2:2" x14ac:dyDescent="0.25">
      <c r="B395" s="1"/>
    </row>
    <row r="396" spans="2:2" x14ac:dyDescent="0.25">
      <c r="B396" s="1"/>
    </row>
    <row r="397" spans="2:2" x14ac:dyDescent="0.25">
      <c r="B397" s="1"/>
    </row>
    <row r="398" spans="2:2" x14ac:dyDescent="0.25">
      <c r="B398" s="1"/>
    </row>
    <row r="399" spans="2:2" x14ac:dyDescent="0.25">
      <c r="B399" s="1"/>
    </row>
    <row r="400" spans="2:2" x14ac:dyDescent="0.25">
      <c r="B400" s="1"/>
    </row>
    <row r="401" spans="2:2" x14ac:dyDescent="0.25">
      <c r="B401" s="1"/>
    </row>
    <row r="402" spans="2:2" x14ac:dyDescent="0.25">
      <c r="B402" s="1"/>
    </row>
    <row r="403" spans="2:2" x14ac:dyDescent="0.25">
      <c r="B403" s="1"/>
    </row>
    <row r="404" spans="2:2" x14ac:dyDescent="0.25">
      <c r="B404" s="1"/>
    </row>
    <row r="405" spans="2:2" x14ac:dyDescent="0.25">
      <c r="B405" s="1"/>
    </row>
    <row r="406" spans="2:2" x14ac:dyDescent="0.25">
      <c r="B406" s="1"/>
    </row>
    <row r="407" spans="2:2" x14ac:dyDescent="0.25">
      <c r="B407" s="1"/>
    </row>
    <row r="408" spans="2:2" x14ac:dyDescent="0.25">
      <c r="B408" s="1"/>
    </row>
    <row r="409" spans="2:2" x14ac:dyDescent="0.25">
      <c r="B409" s="1"/>
    </row>
    <row r="410" spans="2:2" x14ac:dyDescent="0.25">
      <c r="B410" s="1"/>
    </row>
    <row r="411" spans="2:2" x14ac:dyDescent="0.25">
      <c r="B411" s="1"/>
    </row>
    <row r="412" spans="2:2" x14ac:dyDescent="0.25">
      <c r="B412" s="1"/>
    </row>
    <row r="413" spans="2:2" x14ac:dyDescent="0.25">
      <c r="B413" s="1"/>
    </row>
    <row r="414" spans="2:2" x14ac:dyDescent="0.25">
      <c r="B414" s="1"/>
    </row>
    <row r="415" spans="2:2" x14ac:dyDescent="0.25">
      <c r="B415" s="1"/>
    </row>
    <row r="416" spans="2:2" x14ac:dyDescent="0.25">
      <c r="B416" s="1"/>
    </row>
    <row r="417" spans="2:2" x14ac:dyDescent="0.25">
      <c r="B417" s="1"/>
    </row>
    <row r="418" spans="2:2" x14ac:dyDescent="0.25">
      <c r="B418" s="1"/>
    </row>
    <row r="419" spans="2:2" x14ac:dyDescent="0.25">
      <c r="B419" s="1"/>
    </row>
    <row r="420" spans="2:2" x14ac:dyDescent="0.25">
      <c r="B420" s="1"/>
    </row>
    <row r="421" spans="2:2" x14ac:dyDescent="0.25">
      <c r="B421" s="1"/>
    </row>
    <row r="422" spans="2:2" x14ac:dyDescent="0.25">
      <c r="B422" s="1"/>
    </row>
    <row r="423" spans="2:2" x14ac:dyDescent="0.25">
      <c r="B423" s="1"/>
    </row>
    <row r="424" spans="2:2" x14ac:dyDescent="0.25">
      <c r="B424" s="1"/>
    </row>
    <row r="425" spans="2:2" x14ac:dyDescent="0.25">
      <c r="B425" s="1"/>
    </row>
    <row r="426" spans="2:2" x14ac:dyDescent="0.25">
      <c r="B426" s="1"/>
    </row>
    <row r="427" spans="2:2" x14ac:dyDescent="0.25">
      <c r="B427" s="1"/>
    </row>
    <row r="428" spans="2:2" x14ac:dyDescent="0.25">
      <c r="B428" s="1"/>
    </row>
    <row r="429" spans="2:2" x14ac:dyDescent="0.25">
      <c r="B429" s="1"/>
    </row>
    <row r="430" spans="2:2" x14ac:dyDescent="0.25">
      <c r="B430" s="1"/>
    </row>
    <row r="431" spans="2:2" x14ac:dyDescent="0.25">
      <c r="B431" s="1"/>
    </row>
    <row r="432" spans="2:2" x14ac:dyDescent="0.25">
      <c r="B432" s="1"/>
    </row>
    <row r="433" spans="2:2" x14ac:dyDescent="0.25">
      <c r="B433" s="1"/>
    </row>
    <row r="434" spans="2:2" x14ac:dyDescent="0.25">
      <c r="B434" s="1"/>
    </row>
    <row r="435" spans="2:2" x14ac:dyDescent="0.25">
      <c r="B435" s="1"/>
    </row>
    <row r="436" spans="2:2" x14ac:dyDescent="0.25">
      <c r="B436" s="1"/>
    </row>
    <row r="437" spans="2:2" x14ac:dyDescent="0.25">
      <c r="B437" s="1"/>
    </row>
    <row r="438" spans="2:2" x14ac:dyDescent="0.25">
      <c r="B438" s="1"/>
    </row>
    <row r="439" spans="2:2" x14ac:dyDescent="0.25">
      <c r="B439" s="1"/>
    </row>
    <row r="440" spans="2:2" x14ac:dyDescent="0.25">
      <c r="B440" s="1"/>
    </row>
    <row r="441" spans="2:2" x14ac:dyDescent="0.25">
      <c r="B441" s="1"/>
    </row>
    <row r="442" spans="2:2" x14ac:dyDescent="0.25">
      <c r="B442" s="1"/>
    </row>
    <row r="443" spans="2:2" x14ac:dyDescent="0.25">
      <c r="B443" s="1"/>
    </row>
    <row r="444" spans="2:2" x14ac:dyDescent="0.25">
      <c r="B444" s="1"/>
    </row>
    <row r="445" spans="2:2" x14ac:dyDescent="0.25">
      <c r="B445" s="1"/>
    </row>
    <row r="446" spans="2:2" x14ac:dyDescent="0.25">
      <c r="B446" s="1"/>
    </row>
    <row r="447" spans="2:2" x14ac:dyDescent="0.25">
      <c r="B447" s="1"/>
    </row>
    <row r="448" spans="2:2" x14ac:dyDescent="0.25">
      <c r="B448" s="1"/>
    </row>
    <row r="449" spans="2:2" x14ac:dyDescent="0.25">
      <c r="B449" s="1"/>
    </row>
    <row r="450" spans="2:2" x14ac:dyDescent="0.25">
      <c r="B450" s="1"/>
    </row>
    <row r="451" spans="2:2" x14ac:dyDescent="0.25">
      <c r="B451" s="1"/>
    </row>
    <row r="452" spans="2:2" x14ac:dyDescent="0.25">
      <c r="B452" s="1"/>
    </row>
    <row r="453" spans="2:2" x14ac:dyDescent="0.25">
      <c r="B453" s="1"/>
    </row>
    <row r="454" spans="2:2" x14ac:dyDescent="0.25">
      <c r="B454" s="1"/>
    </row>
    <row r="455" spans="2:2" x14ac:dyDescent="0.25">
      <c r="B455" s="1"/>
    </row>
    <row r="456" spans="2:2" x14ac:dyDescent="0.25">
      <c r="B456" s="1"/>
    </row>
    <row r="457" spans="2:2" x14ac:dyDescent="0.25">
      <c r="B457" s="1"/>
    </row>
    <row r="458" spans="2:2" x14ac:dyDescent="0.25">
      <c r="B458" s="1"/>
    </row>
    <row r="459" spans="2:2" x14ac:dyDescent="0.25">
      <c r="B459" s="1"/>
    </row>
    <row r="460" spans="2:2" x14ac:dyDescent="0.25">
      <c r="B460" s="1"/>
    </row>
    <row r="461" spans="2:2" x14ac:dyDescent="0.25">
      <c r="B461" s="1"/>
    </row>
    <row r="462" spans="2:2" x14ac:dyDescent="0.25">
      <c r="B462" s="1"/>
    </row>
    <row r="463" spans="2:2" x14ac:dyDescent="0.25">
      <c r="B463" s="1"/>
    </row>
    <row r="464" spans="2:2" x14ac:dyDescent="0.25">
      <c r="B464" s="1"/>
    </row>
    <row r="465" spans="2:2" x14ac:dyDescent="0.25">
      <c r="B465" s="1"/>
    </row>
    <row r="466" spans="2:2" x14ac:dyDescent="0.25">
      <c r="B466" s="1"/>
    </row>
    <row r="467" spans="2:2" x14ac:dyDescent="0.25">
      <c r="B467" s="1"/>
    </row>
    <row r="468" spans="2:2" x14ac:dyDescent="0.25">
      <c r="B468" s="1"/>
    </row>
    <row r="469" spans="2:2" x14ac:dyDescent="0.25">
      <c r="B469" s="1"/>
    </row>
    <row r="470" spans="2:2" x14ac:dyDescent="0.25">
      <c r="B470" s="1"/>
    </row>
    <row r="471" spans="2:2" x14ac:dyDescent="0.25">
      <c r="B471" s="1"/>
    </row>
    <row r="472" spans="2:2" x14ac:dyDescent="0.25">
      <c r="B472" s="1"/>
    </row>
    <row r="473" spans="2:2" x14ac:dyDescent="0.25">
      <c r="B473" s="1"/>
    </row>
    <row r="474" spans="2:2" x14ac:dyDescent="0.25">
      <c r="B474" s="1"/>
    </row>
    <row r="475" spans="2:2" x14ac:dyDescent="0.25">
      <c r="B475" s="1"/>
    </row>
    <row r="476" spans="2:2" x14ac:dyDescent="0.25">
      <c r="B476" s="1"/>
    </row>
    <row r="477" spans="2:2" x14ac:dyDescent="0.25">
      <c r="B477" s="1"/>
    </row>
    <row r="478" spans="2:2" x14ac:dyDescent="0.25">
      <c r="B478" s="1"/>
    </row>
    <row r="479" spans="2:2" x14ac:dyDescent="0.25">
      <c r="B479" s="1"/>
    </row>
    <row r="480" spans="2:2" x14ac:dyDescent="0.25">
      <c r="B480" s="1"/>
    </row>
    <row r="481" spans="2:2" x14ac:dyDescent="0.25">
      <c r="B481" s="1"/>
    </row>
    <row r="482" spans="2:2" x14ac:dyDescent="0.25">
      <c r="B482" s="1"/>
    </row>
    <row r="483" spans="2:2" x14ac:dyDescent="0.25">
      <c r="B483" s="1"/>
    </row>
    <row r="484" spans="2:2" x14ac:dyDescent="0.25">
      <c r="B484" s="1"/>
    </row>
    <row r="485" spans="2:2" x14ac:dyDescent="0.25">
      <c r="B485" s="1"/>
    </row>
    <row r="486" spans="2:2" x14ac:dyDescent="0.25">
      <c r="B486" s="1"/>
    </row>
    <row r="487" spans="2:2" x14ac:dyDescent="0.25">
      <c r="B487" s="1"/>
    </row>
    <row r="488" spans="2:2" x14ac:dyDescent="0.25">
      <c r="B488" s="1"/>
    </row>
    <row r="489" spans="2:2" x14ac:dyDescent="0.25">
      <c r="B489" s="1"/>
    </row>
    <row r="490" spans="2:2" x14ac:dyDescent="0.25">
      <c r="B490" s="1"/>
    </row>
    <row r="491" spans="2:2" x14ac:dyDescent="0.25">
      <c r="B491" s="1"/>
    </row>
    <row r="492" spans="2:2" x14ac:dyDescent="0.25">
      <c r="B492" s="1"/>
    </row>
    <row r="493" spans="2:2" x14ac:dyDescent="0.25">
      <c r="B493" s="1"/>
    </row>
    <row r="494" spans="2:2" x14ac:dyDescent="0.25">
      <c r="B494" s="1"/>
    </row>
    <row r="495" spans="2:2" x14ac:dyDescent="0.25">
      <c r="B495" s="1"/>
    </row>
    <row r="496" spans="2:2" x14ac:dyDescent="0.25">
      <c r="B496" s="1"/>
    </row>
    <row r="497" spans="2:2" x14ac:dyDescent="0.25">
      <c r="B497" s="1"/>
    </row>
    <row r="498" spans="2:2" x14ac:dyDescent="0.25">
      <c r="B498" s="1"/>
    </row>
    <row r="499" spans="2:2" x14ac:dyDescent="0.25">
      <c r="B499" s="1"/>
    </row>
    <row r="500" spans="2:2" x14ac:dyDescent="0.25">
      <c r="B500" s="1"/>
    </row>
    <row r="501" spans="2:2" x14ac:dyDescent="0.25">
      <c r="B501" s="1"/>
    </row>
    <row r="502" spans="2:2" x14ac:dyDescent="0.25">
      <c r="B502" s="1"/>
    </row>
    <row r="503" spans="2:2" x14ac:dyDescent="0.25">
      <c r="B503" s="1"/>
    </row>
    <row r="504" spans="2:2" x14ac:dyDescent="0.25">
      <c r="B504" s="1"/>
    </row>
    <row r="505" spans="2:2" x14ac:dyDescent="0.25">
      <c r="B505" s="1"/>
    </row>
    <row r="506" spans="2:2" x14ac:dyDescent="0.25">
      <c r="B506" s="1"/>
    </row>
    <row r="507" spans="2:2" x14ac:dyDescent="0.25">
      <c r="B507" s="1"/>
    </row>
    <row r="508" spans="2:2" x14ac:dyDescent="0.25">
      <c r="B508" s="1"/>
    </row>
    <row r="509" spans="2:2" x14ac:dyDescent="0.25">
      <c r="B509" s="1"/>
    </row>
    <row r="510" spans="2:2" x14ac:dyDescent="0.25">
      <c r="B510" s="1"/>
    </row>
    <row r="511" spans="2:2" x14ac:dyDescent="0.25">
      <c r="B511" s="1"/>
    </row>
    <row r="512" spans="2:2" x14ac:dyDescent="0.25">
      <c r="B512" s="1"/>
    </row>
    <row r="513" spans="2:2" x14ac:dyDescent="0.25">
      <c r="B513" s="1"/>
    </row>
    <row r="514" spans="2:2" x14ac:dyDescent="0.25">
      <c r="B514" s="1"/>
    </row>
    <row r="515" spans="2:2" x14ac:dyDescent="0.25">
      <c r="B515" s="1"/>
    </row>
    <row r="516" spans="2:2" x14ac:dyDescent="0.25">
      <c r="B516" s="1"/>
    </row>
    <row r="517" spans="2:2" x14ac:dyDescent="0.25">
      <c r="B517" s="1"/>
    </row>
    <row r="518" spans="2:2" x14ac:dyDescent="0.25">
      <c r="B518" s="1"/>
    </row>
    <row r="519" spans="2:2" x14ac:dyDescent="0.25">
      <c r="B519" s="1"/>
    </row>
    <row r="520" spans="2:2" x14ac:dyDescent="0.25">
      <c r="B520" s="1"/>
    </row>
    <row r="521" spans="2:2" x14ac:dyDescent="0.25">
      <c r="B521" s="1"/>
    </row>
    <row r="522" spans="2:2" x14ac:dyDescent="0.25">
      <c r="B522" s="1"/>
    </row>
    <row r="523" spans="2:2" x14ac:dyDescent="0.25">
      <c r="B523" s="1"/>
    </row>
    <row r="524" spans="2:2" x14ac:dyDescent="0.25">
      <c r="B524" s="1"/>
    </row>
    <row r="525" spans="2:2" x14ac:dyDescent="0.25">
      <c r="B525" s="1"/>
    </row>
    <row r="526" spans="2:2" x14ac:dyDescent="0.25">
      <c r="B526" s="1"/>
    </row>
    <row r="527" spans="2:2" x14ac:dyDescent="0.25">
      <c r="B527" s="1"/>
    </row>
    <row r="528" spans="2:2" x14ac:dyDescent="0.25">
      <c r="B528" s="1"/>
    </row>
    <row r="529" spans="2:2" x14ac:dyDescent="0.25">
      <c r="B529" s="1"/>
    </row>
    <row r="530" spans="2:2" x14ac:dyDescent="0.25">
      <c r="B530" s="1"/>
    </row>
    <row r="531" spans="2:2" x14ac:dyDescent="0.25">
      <c r="B531" s="1"/>
    </row>
    <row r="532" spans="2:2" x14ac:dyDescent="0.25">
      <c r="B532" s="1"/>
    </row>
    <row r="533" spans="2:2" x14ac:dyDescent="0.25">
      <c r="B533" s="1"/>
    </row>
    <row r="534" spans="2:2" x14ac:dyDescent="0.25">
      <c r="B534" s="1"/>
    </row>
    <row r="535" spans="2:2" x14ac:dyDescent="0.25">
      <c r="B535" s="1"/>
    </row>
    <row r="536" spans="2:2" x14ac:dyDescent="0.25">
      <c r="B536" s="1"/>
    </row>
    <row r="537" spans="2:2" x14ac:dyDescent="0.25">
      <c r="B537" s="1"/>
    </row>
    <row r="538" spans="2:2" x14ac:dyDescent="0.25">
      <c r="B538" s="1"/>
    </row>
    <row r="539" spans="2:2" x14ac:dyDescent="0.25">
      <c r="B539" s="1"/>
    </row>
    <row r="540" spans="2:2" x14ac:dyDescent="0.25">
      <c r="B540" s="1"/>
    </row>
    <row r="541" spans="2:2" x14ac:dyDescent="0.25">
      <c r="B541" s="1"/>
    </row>
    <row r="542" spans="2:2" x14ac:dyDescent="0.25">
      <c r="B542" s="1"/>
    </row>
    <row r="543" spans="2:2" x14ac:dyDescent="0.25">
      <c r="B543" s="1"/>
    </row>
    <row r="544" spans="2:2" x14ac:dyDescent="0.25">
      <c r="B544" s="1"/>
    </row>
    <row r="545" spans="2:2" x14ac:dyDescent="0.25">
      <c r="B545" s="1"/>
    </row>
    <row r="546" spans="2:2" x14ac:dyDescent="0.25">
      <c r="B546" s="1"/>
    </row>
    <row r="547" spans="2:2" x14ac:dyDescent="0.25">
      <c r="B547" s="1"/>
    </row>
    <row r="548" spans="2:2" x14ac:dyDescent="0.25">
      <c r="B548" s="1"/>
    </row>
    <row r="549" spans="2:2" x14ac:dyDescent="0.25">
      <c r="B549" s="1"/>
    </row>
    <row r="550" spans="2:2" x14ac:dyDescent="0.25">
      <c r="B550" s="1"/>
    </row>
    <row r="551" spans="2:2" x14ac:dyDescent="0.25">
      <c r="B551" s="1"/>
    </row>
    <row r="552" spans="2:2" x14ac:dyDescent="0.25">
      <c r="B552" s="1"/>
    </row>
    <row r="553" spans="2:2" x14ac:dyDescent="0.25">
      <c r="B553" s="1"/>
    </row>
    <row r="554" spans="2:2" x14ac:dyDescent="0.25">
      <c r="B554" s="1"/>
    </row>
    <row r="555" spans="2:2" x14ac:dyDescent="0.25">
      <c r="B555" s="1"/>
    </row>
    <row r="556" spans="2:2" x14ac:dyDescent="0.25">
      <c r="B556" s="1"/>
    </row>
    <row r="557" spans="2:2" x14ac:dyDescent="0.25">
      <c r="B557" s="1"/>
    </row>
    <row r="558" spans="2:2" x14ac:dyDescent="0.25">
      <c r="B558" s="1"/>
    </row>
    <row r="559" spans="2:2" x14ac:dyDescent="0.25">
      <c r="B559" s="1"/>
    </row>
    <row r="560" spans="2:2" x14ac:dyDescent="0.25">
      <c r="B560" s="1"/>
    </row>
    <row r="561" spans="2:2" x14ac:dyDescent="0.25">
      <c r="B561" s="1"/>
    </row>
    <row r="562" spans="2:2" x14ac:dyDescent="0.25">
      <c r="B562" s="1"/>
    </row>
    <row r="563" spans="2:2" x14ac:dyDescent="0.25">
      <c r="B563" s="1"/>
    </row>
    <row r="564" spans="2:2" x14ac:dyDescent="0.25">
      <c r="B564" s="1"/>
    </row>
    <row r="565" spans="2:2" x14ac:dyDescent="0.25">
      <c r="B565" s="1"/>
    </row>
    <row r="566" spans="2:2" x14ac:dyDescent="0.25">
      <c r="B566" s="1"/>
    </row>
    <row r="567" spans="2:2" x14ac:dyDescent="0.25">
      <c r="B567" s="1"/>
    </row>
    <row r="568" spans="2:2" x14ac:dyDescent="0.25">
      <c r="B568" s="1"/>
    </row>
    <row r="569" spans="2:2" x14ac:dyDescent="0.25">
      <c r="B569" s="1"/>
    </row>
    <row r="570" spans="2:2" x14ac:dyDescent="0.25">
      <c r="B570" s="1"/>
    </row>
    <row r="571" spans="2:2" x14ac:dyDescent="0.25">
      <c r="B571" s="1"/>
    </row>
    <row r="572" spans="2:2" x14ac:dyDescent="0.25">
      <c r="B572" s="1"/>
    </row>
    <row r="573" spans="2:2" x14ac:dyDescent="0.25">
      <c r="B573" s="1"/>
    </row>
    <row r="574" spans="2:2" x14ac:dyDescent="0.25">
      <c r="B574" s="1"/>
    </row>
    <row r="575" spans="2:2" x14ac:dyDescent="0.25">
      <c r="B575" s="1"/>
    </row>
    <row r="576" spans="2:2" x14ac:dyDescent="0.25">
      <c r="B576" s="1"/>
    </row>
    <row r="577" spans="2:2" x14ac:dyDescent="0.25">
      <c r="B577" s="1"/>
    </row>
    <row r="578" spans="2:2" x14ac:dyDescent="0.25">
      <c r="B578" s="1"/>
    </row>
    <row r="579" spans="2:2" x14ac:dyDescent="0.25">
      <c r="B579" s="1"/>
    </row>
    <row r="580" spans="2:2" x14ac:dyDescent="0.25">
      <c r="B580" s="1"/>
    </row>
    <row r="581" spans="2:2" x14ac:dyDescent="0.25">
      <c r="B581" s="1"/>
    </row>
    <row r="582" spans="2:2" x14ac:dyDescent="0.25">
      <c r="B582" s="1"/>
    </row>
    <row r="583" spans="2:2" x14ac:dyDescent="0.25">
      <c r="B583" s="1"/>
    </row>
    <row r="584" spans="2:2" x14ac:dyDescent="0.25">
      <c r="B584" s="1"/>
    </row>
    <row r="585" spans="2:2" x14ac:dyDescent="0.25">
      <c r="B585" s="1"/>
    </row>
    <row r="586" spans="2:2" x14ac:dyDescent="0.25">
      <c r="B586" s="1"/>
    </row>
    <row r="587" spans="2:2" x14ac:dyDescent="0.25">
      <c r="B587" s="1"/>
    </row>
    <row r="588" spans="2:2" x14ac:dyDescent="0.25">
      <c r="B588" s="1"/>
    </row>
    <row r="589" spans="2:2" x14ac:dyDescent="0.25">
      <c r="B589" s="1"/>
    </row>
    <row r="590" spans="2:2" x14ac:dyDescent="0.25">
      <c r="B590" s="1"/>
    </row>
    <row r="591" spans="2:2" x14ac:dyDescent="0.25">
      <c r="B591" s="1"/>
    </row>
    <row r="592" spans="2:2" x14ac:dyDescent="0.25">
      <c r="B592" s="1"/>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C1D2-BAC1-47B3-B532-85D5CE992634}">
  <dimension ref="B2:N28"/>
  <sheetViews>
    <sheetView workbookViewId="0">
      <selection activeCell="K27" sqref="K27"/>
    </sheetView>
  </sheetViews>
  <sheetFormatPr defaultRowHeight="15" x14ac:dyDescent="0.25"/>
  <cols>
    <col min="2" max="2" width="14.28515625" bestFit="1" customWidth="1"/>
    <col min="3" max="3" width="15.85546875" bestFit="1" customWidth="1"/>
    <col min="6" max="6" width="11.28515625" bestFit="1" customWidth="1"/>
    <col min="7" max="7" width="15.85546875" bestFit="1" customWidth="1"/>
    <col min="10" max="10" width="16.85546875" bestFit="1" customWidth="1"/>
    <col min="11" max="11" width="15.85546875" bestFit="1" customWidth="1"/>
    <col min="12" max="13" width="12" bestFit="1" customWidth="1"/>
    <col min="14" max="14" width="19.42578125" bestFit="1" customWidth="1"/>
  </cols>
  <sheetData>
    <row r="2" spans="2:14" x14ac:dyDescent="0.25">
      <c r="B2" s="5" t="s">
        <v>122</v>
      </c>
      <c r="C2" t="s">
        <v>153</v>
      </c>
      <c r="F2" s="5" t="s">
        <v>155</v>
      </c>
      <c r="G2" t="s">
        <v>153</v>
      </c>
      <c r="J2" t="s">
        <v>156</v>
      </c>
      <c r="L2" t="s">
        <v>157</v>
      </c>
      <c r="N2" s="9" t="s">
        <v>172</v>
      </c>
    </row>
    <row r="3" spans="2:14" x14ac:dyDescent="0.25">
      <c r="B3" s="6" t="s">
        <v>124</v>
      </c>
      <c r="C3" s="4">
        <v>60972.400000000038</v>
      </c>
      <c r="F3" s="6" t="s">
        <v>117</v>
      </c>
      <c r="G3" s="4">
        <v>28541.709999999992</v>
      </c>
      <c r="J3" s="7">
        <v>103496.03</v>
      </c>
      <c r="L3" s="8">
        <v>312</v>
      </c>
      <c r="N3" s="7">
        <f>J3/L3</f>
        <v>331.71804487179486</v>
      </c>
    </row>
    <row r="4" spans="2:14" x14ac:dyDescent="0.25">
      <c r="B4" s="6" t="s">
        <v>129</v>
      </c>
      <c r="C4" s="4">
        <v>31078.039999999997</v>
      </c>
      <c r="F4" s="6" t="s">
        <v>68</v>
      </c>
      <c r="G4" s="4">
        <v>23172.510000000002</v>
      </c>
    </row>
    <row r="5" spans="2:14" x14ac:dyDescent="0.25">
      <c r="B5" s="6" t="s">
        <v>137</v>
      </c>
      <c r="C5" s="4">
        <v>5508.4299999999985</v>
      </c>
      <c r="F5" s="6" t="s">
        <v>119</v>
      </c>
      <c r="G5" s="4">
        <v>22750.649999999998</v>
      </c>
    </row>
    <row r="6" spans="2:14" x14ac:dyDescent="0.25">
      <c r="B6" s="6" t="s">
        <v>126</v>
      </c>
      <c r="C6" s="4">
        <v>2489.7900000000004</v>
      </c>
      <c r="F6" s="6" t="s">
        <v>118</v>
      </c>
      <c r="G6" s="4">
        <v>20667.21999999999</v>
      </c>
    </row>
    <row r="7" spans="2:14" x14ac:dyDescent="0.25">
      <c r="B7" s="6" t="s">
        <v>131</v>
      </c>
      <c r="C7" s="4">
        <v>2467.86</v>
      </c>
      <c r="F7" s="6" t="s">
        <v>120</v>
      </c>
      <c r="G7" s="4">
        <v>8363.94</v>
      </c>
    </row>
    <row r="8" spans="2:14" x14ac:dyDescent="0.25">
      <c r="B8" s="6" t="s">
        <v>142</v>
      </c>
      <c r="C8" s="4">
        <v>979.51</v>
      </c>
      <c r="F8" s="6" t="s">
        <v>154</v>
      </c>
      <c r="G8" s="4">
        <v>103496.02999999998</v>
      </c>
    </row>
    <row r="9" spans="2:14" x14ac:dyDescent="0.25">
      <c r="B9" s="6" t="s">
        <v>154</v>
      </c>
      <c r="C9" s="4">
        <v>103496.03000000001</v>
      </c>
    </row>
    <row r="12" spans="2:14" x14ac:dyDescent="0.25">
      <c r="B12" s="5" t="s">
        <v>150</v>
      </c>
      <c r="C12" t="s">
        <v>153</v>
      </c>
      <c r="F12" s="5" t="s">
        <v>170</v>
      </c>
      <c r="G12" t="s">
        <v>153</v>
      </c>
      <c r="J12" s="5" t="s">
        <v>171</v>
      </c>
      <c r="K12" t="s">
        <v>153</v>
      </c>
    </row>
    <row r="13" spans="2:14" x14ac:dyDescent="0.25">
      <c r="B13" s="6" t="s">
        <v>158</v>
      </c>
      <c r="C13" s="4">
        <v>2014.1000000000004</v>
      </c>
      <c r="F13" s="6" t="s">
        <v>139</v>
      </c>
      <c r="G13" s="4">
        <v>24599.18</v>
      </c>
      <c r="J13" s="6" t="s">
        <v>82</v>
      </c>
      <c r="K13" s="4">
        <v>7676.42</v>
      </c>
    </row>
    <row r="14" spans="2:14" x14ac:dyDescent="0.25">
      <c r="B14" s="6" t="s">
        <v>159</v>
      </c>
      <c r="C14" s="4">
        <v>6142.24</v>
      </c>
      <c r="F14" s="6" t="s">
        <v>144</v>
      </c>
      <c r="G14" s="4">
        <v>20799.48</v>
      </c>
      <c r="J14" s="6" t="s">
        <v>99</v>
      </c>
      <c r="K14" s="4">
        <v>6384.52</v>
      </c>
    </row>
    <row r="15" spans="2:14" x14ac:dyDescent="0.25">
      <c r="B15" s="6" t="s">
        <v>160</v>
      </c>
      <c r="C15" s="4">
        <v>7874.949999999998</v>
      </c>
      <c r="F15" s="6" t="s">
        <v>127</v>
      </c>
      <c r="G15" s="4">
        <v>9599.52</v>
      </c>
      <c r="J15" s="6" t="s">
        <v>102</v>
      </c>
      <c r="K15" s="4">
        <v>5913.0299999999988</v>
      </c>
    </row>
    <row r="16" spans="2:14" x14ac:dyDescent="0.25">
      <c r="B16" s="6" t="s">
        <v>161</v>
      </c>
      <c r="C16" s="4">
        <v>5616.1499999999978</v>
      </c>
      <c r="F16" s="6" t="s">
        <v>134</v>
      </c>
      <c r="G16" s="4">
        <v>8099.4600000000009</v>
      </c>
      <c r="J16" s="6" t="s">
        <v>100</v>
      </c>
      <c r="K16" s="4">
        <v>5841.37</v>
      </c>
    </row>
    <row r="17" spans="2:11" x14ac:dyDescent="0.25">
      <c r="B17" s="6" t="s">
        <v>162</v>
      </c>
      <c r="C17" s="4">
        <v>10908.349999999999</v>
      </c>
      <c r="F17" s="6" t="s">
        <v>128</v>
      </c>
      <c r="G17" s="4">
        <v>6929.23</v>
      </c>
      <c r="J17" s="6" t="s">
        <v>101</v>
      </c>
      <c r="K17" s="4">
        <v>5633.66</v>
      </c>
    </row>
    <row r="18" spans="2:11" x14ac:dyDescent="0.25">
      <c r="B18" s="6" t="s">
        <v>163</v>
      </c>
      <c r="C18" s="4">
        <v>7059.82</v>
      </c>
      <c r="F18" s="6" t="s">
        <v>154</v>
      </c>
      <c r="G18" s="4">
        <v>70026.87</v>
      </c>
      <c r="J18" s="6" t="s">
        <v>154</v>
      </c>
      <c r="K18" s="4">
        <v>31449</v>
      </c>
    </row>
    <row r="19" spans="2:11" x14ac:dyDescent="0.25">
      <c r="B19" s="6" t="s">
        <v>164</v>
      </c>
      <c r="C19" s="4">
        <v>8051.0399999999991</v>
      </c>
    </row>
    <row r="20" spans="2:11" x14ac:dyDescent="0.25">
      <c r="B20" s="6" t="s">
        <v>165</v>
      </c>
      <c r="C20" s="4">
        <v>12750.429999999997</v>
      </c>
    </row>
    <row r="21" spans="2:11" x14ac:dyDescent="0.25">
      <c r="B21" s="6" t="s">
        <v>166</v>
      </c>
      <c r="C21" s="4">
        <v>13119.529999999995</v>
      </c>
    </row>
    <row r="22" spans="2:11" x14ac:dyDescent="0.25">
      <c r="B22" s="6" t="s">
        <v>167</v>
      </c>
      <c r="C22" s="4">
        <v>13224.600000000002</v>
      </c>
      <c r="F22" s="5" t="s">
        <v>174</v>
      </c>
      <c r="G22" t="s">
        <v>173</v>
      </c>
    </row>
    <row r="23" spans="2:11" x14ac:dyDescent="0.25">
      <c r="B23" s="6" t="s">
        <v>168</v>
      </c>
      <c r="C23" s="4">
        <v>10638.43</v>
      </c>
      <c r="F23" s="6" t="s">
        <v>68</v>
      </c>
      <c r="G23" s="3">
        <v>67</v>
      </c>
    </row>
    <row r="24" spans="2:11" x14ac:dyDescent="0.25">
      <c r="B24" s="6" t="s">
        <v>169</v>
      </c>
      <c r="C24" s="4">
        <v>6096.39</v>
      </c>
      <c r="F24" s="6" t="s">
        <v>118</v>
      </c>
      <c r="G24" s="3">
        <v>86</v>
      </c>
    </row>
    <row r="25" spans="2:11" x14ac:dyDescent="0.25">
      <c r="B25" s="6" t="s">
        <v>154</v>
      </c>
      <c r="C25" s="4">
        <v>103496.02999999998</v>
      </c>
      <c r="F25" s="6" t="s">
        <v>117</v>
      </c>
      <c r="G25" s="3">
        <v>75</v>
      </c>
    </row>
    <row r="26" spans="2:11" x14ac:dyDescent="0.25">
      <c r="F26" s="6" t="s">
        <v>120</v>
      </c>
      <c r="G26" s="3">
        <v>27</v>
      </c>
    </row>
    <row r="27" spans="2:11" x14ac:dyDescent="0.25">
      <c r="F27" s="6" t="s">
        <v>119</v>
      </c>
      <c r="G27" s="3">
        <v>57</v>
      </c>
    </row>
    <row r="28" spans="2:11" x14ac:dyDescent="0.25">
      <c r="F28" s="6" t="s">
        <v>154</v>
      </c>
      <c r="G28" s="3">
        <v>312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8E69-195C-41CB-A5A7-23AD877077B7}">
  <dimension ref="D2:M4"/>
  <sheetViews>
    <sheetView tabSelected="1" zoomScale="90" zoomScaleNormal="90" workbookViewId="0">
      <selection activeCell="T9" sqref="T9"/>
    </sheetView>
  </sheetViews>
  <sheetFormatPr defaultRowHeight="15" x14ac:dyDescent="0.25"/>
  <cols>
    <col min="4" max="4" width="24.28515625" bestFit="1" customWidth="1"/>
    <col min="8" max="8" width="11.85546875" bestFit="1" customWidth="1"/>
    <col min="12" max="12" width="14.85546875" customWidth="1"/>
    <col min="13" max="13" width="7" customWidth="1"/>
  </cols>
  <sheetData>
    <row r="2" spans="4:13" ht="15.75" thickBot="1" x14ac:dyDescent="0.3"/>
    <row r="3" spans="4:13" ht="15.75" x14ac:dyDescent="0.25">
      <c r="D3" s="20" t="s">
        <v>156</v>
      </c>
      <c r="E3" s="21"/>
      <c r="G3" s="16"/>
      <c r="H3" s="10" t="s">
        <v>157</v>
      </c>
      <c r="I3" s="11"/>
      <c r="K3" s="17" t="s">
        <v>172</v>
      </c>
      <c r="L3" s="18"/>
      <c r="M3" s="19"/>
    </row>
    <row r="4" spans="4:13" ht="27" thickBot="1" x14ac:dyDescent="0.45">
      <c r="D4" s="22">
        <f>Pivot!J3</f>
        <v>103496.03</v>
      </c>
      <c r="E4" s="23"/>
      <c r="G4" s="12"/>
      <c r="H4" s="13">
        <f>Pivot!L3</f>
        <v>312</v>
      </c>
      <c r="I4" s="14"/>
      <c r="K4" s="12"/>
      <c r="L4" s="15">
        <f>Pivot!N3</f>
        <v>331.71804487179486</v>
      </c>
      <c r="M4" s="14"/>
    </row>
  </sheetData>
  <mergeCells count="3">
    <mergeCell ref="K3:M3"/>
    <mergeCell ref="D3:E3"/>
    <mergeCell ref="D4:E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5066F79-4191-425B-814E-B639359EC4F4}">
  <ds:schemaRefs/>
</ds:datastoreItem>
</file>

<file path=customXml/itemProps2.xml><?xml version="1.0" encoding="utf-8"?>
<ds:datastoreItem xmlns:ds="http://schemas.openxmlformats.org/officeDocument/2006/customXml" ds:itemID="{700B0DAE-FC0A-4FE4-8AA5-24DB437FAAA7}">
  <ds:schemaRefs/>
</ds:datastoreItem>
</file>

<file path=customXml/itemProps3.xml><?xml version="1.0" encoding="utf-8"?>
<ds:datastoreItem xmlns:ds="http://schemas.openxmlformats.org/officeDocument/2006/customXml" ds:itemID="{08B4FC55-D9AF-4247-8D41-720A70504D5A}">
  <ds:schemaRefs>
    <ds:schemaRef ds:uri="http://schemas.microsoft.com/DataMashup"/>
  </ds:schemaRefs>
</ds:datastoreItem>
</file>

<file path=customXml/itemProps4.xml><?xml version="1.0" encoding="utf-8"?>
<ds:datastoreItem xmlns:ds="http://schemas.openxmlformats.org/officeDocument/2006/customXml" ds:itemID="{BDF050F1-8378-432E-A933-BFCFD526EA3E}">
  <ds:schemaRefs/>
</ds:datastoreItem>
</file>

<file path=customXml/itemProps5.xml><?xml version="1.0" encoding="utf-8"?>
<ds:datastoreItem xmlns:ds="http://schemas.openxmlformats.org/officeDocument/2006/customXml" ds:itemID="{B35ECE40-FF01-4DA7-A56A-08009B760DBE}">
  <ds:schemaRefs/>
</ds:datastoreItem>
</file>

<file path=customXml/itemProps6.xml><?xml version="1.0" encoding="utf-8"?>
<ds:datastoreItem xmlns:ds="http://schemas.openxmlformats.org/officeDocument/2006/customXml" ds:itemID="{585A76E7-E356-46AE-AAEF-605404F699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Regions</vt:lpstr>
      <vt:lpstr>Products</vt:lpstr>
      <vt:lpstr>Orders</vt:lpstr>
      <vt:lpstr>Pivot</vt:lpstr>
      <vt:lpstr>Dashboard</vt:lpstr>
    </vt:vector>
  </TitlesOfParts>
  <Company>Hilton Hotels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Caner Aydin</dc:creator>
  <cp:lastModifiedBy>Caner Aydin</cp:lastModifiedBy>
  <dcterms:created xsi:type="dcterms:W3CDTF">2026-04-03T15:11:19Z</dcterms:created>
  <dcterms:modified xsi:type="dcterms:W3CDTF">2026-04-10T05:06:48Z</dcterms:modified>
</cp:coreProperties>
</file>