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caneraydin\Desktop\Healthcare-PowerQuery-Project\"/>
    </mc:Choice>
  </mc:AlternateContent>
  <xr:revisionPtr revIDLastSave="0" documentId="13_ncr:1_{151C2D62-D169-49B2-9F5B-FE532EFFA5F6}" xr6:coauthVersionLast="47" xr6:coauthVersionMax="47" xr10:uidLastSave="{00000000-0000-0000-0000-000000000000}"/>
  <bookViews>
    <workbookView xWindow="-120" yWindow="-120" windowWidth="29040" windowHeight="15720" activeTab="5" xr2:uid="{00000000-000D-0000-FFFF-FFFF00000000}"/>
  </bookViews>
  <sheets>
    <sheet name="Treatments" sheetId="5" r:id="rId1"/>
    <sheet name="Patients" sheetId="3" r:id="rId2"/>
    <sheet name="Doctors" sheetId="2" r:id="rId3"/>
    <sheet name="Data_Model" sheetId="4" r:id="rId4"/>
    <sheet name="Analytics" sheetId="1" r:id="rId5"/>
    <sheet name="Dashboard" sheetId="7" r:id="rId6"/>
  </sheets>
  <externalReferences>
    <externalReference r:id="rId7"/>
  </externalReferences>
  <definedNames>
    <definedName name="ExternalData_1" localSheetId="2" hidden="1">Doctors!$A$1:$C$6</definedName>
    <definedName name="ExternalData_2" localSheetId="1" hidden="1">Patients!$A$1:$E$274</definedName>
    <definedName name="ExternalData_3" localSheetId="3" hidden="1">Data_Model!$A$1:$Q$279</definedName>
    <definedName name="ExternalData_4" localSheetId="0" hidden="1">Treatments!$A$1:$D$270</definedName>
    <definedName name="_xlnm.Print_Area" localSheetId="5">Dashboard!$B$1:$M$21</definedName>
    <definedName name="Slicer_AgeBand">#N/A</definedName>
    <definedName name="Slicer_Patients.Gender">#N/A</definedName>
    <definedName name="Type">'[1]Business Meeting Agenda'!#REF!</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6" i="7" l="1"/>
  <c r="L16" i="7"/>
  <c r="K16" i="7"/>
  <c r="J16" i="7"/>
  <c r="I16" i="7"/>
  <c r="H16" i="7"/>
  <c r="G16" i="7"/>
  <c r="F16" i="7"/>
  <c r="E16" i="7"/>
  <c r="D16" i="7"/>
  <c r="C16" i="7"/>
  <c r="B16" i="7"/>
  <c r="D5" i="7"/>
  <c r="D4" i="7"/>
  <c r="D3" i="7"/>
  <c r="C20" i="7" l="1"/>
  <c r="E20" i="7"/>
  <c r="D20" i="7"/>
  <c r="B20"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7A9445-82B4-438C-93A3-4EEEE56C6F43}" keepAlive="1" name="Query - Doctors" description="Connection to the 'Doctors' query in the workbook." type="5" refreshedVersion="8" background="1" saveData="1">
    <dbPr connection="Provider=Microsoft.Mashup.OleDb.1;Data Source=$Workbook$;Location=Doctors;Extended Properties=&quot;&quot;" command="SELECT * FROM [Doctors]"/>
  </connection>
  <connection id="2" xr16:uid="{804A9599-CFB4-47D5-A5C2-292A08580805}" keepAlive="1" name="Query - Hospital_Fact_Table" description="Connection to the 'Hospital_Fact_Table' query in the workbook." type="5" refreshedVersion="8" background="1" saveData="1">
    <dbPr connection="Provider=Microsoft.Mashup.OleDb.1;Data Source=$Workbook$;Location=Hospital_Fact_Table;Extended Properties=&quot;&quot;" command="SELECT * FROM [Hospital_Fact_Table]"/>
  </connection>
  <connection id="3" xr16:uid="{4D570525-94A4-4BE0-818F-11FA4E068514}" keepAlive="1" name="Query - Patients" description="Connection to the 'Patients' query in the workbook." type="5" refreshedVersion="8" background="1" saveData="1">
    <dbPr connection="Provider=Microsoft.Mashup.OleDb.1;Data Source=$Workbook$;Location=Patients;Extended Properties=&quot;&quot;" command="SELECT * FROM [Patients]"/>
  </connection>
  <connection id="4" xr16:uid="{C30B354B-597B-4F86-AD72-5DC833D6B223}" keepAlive="1" name="Query - Treatments" description="Connection to the 'Treatments' query in the workbook." type="5" refreshedVersion="8" background="1" saveData="1">
    <dbPr connection="Provider=Microsoft.Mashup.OleDb.1;Data Source=$Workbook$;Location=Treatments;Extended Properties=&quot;&quot;" command="SELECT * FROM [Treatments]"/>
  </connection>
</connections>
</file>

<file path=xl/sharedStrings.xml><?xml version="1.0" encoding="utf-8"?>
<sst xmlns="http://schemas.openxmlformats.org/spreadsheetml/2006/main" count="5390" uniqueCount="1156">
  <si>
    <t>DoctorID</t>
  </si>
  <si>
    <t>DoctorName</t>
  </si>
  <si>
    <t>Department</t>
  </si>
  <si>
    <t>D01</t>
  </si>
  <si>
    <t>Dr Sarah Mitchell</t>
  </si>
  <si>
    <t>Respiratory</t>
  </si>
  <si>
    <t>D02</t>
  </si>
  <si>
    <t>Dr James Foster</t>
  </si>
  <si>
    <t>General Medicine</t>
  </si>
  <si>
    <t>D03</t>
  </si>
  <si>
    <t>Dr Priya Sharma</t>
  </si>
  <si>
    <t>Cardiology</t>
  </si>
  <si>
    <t>D04</t>
  </si>
  <si>
    <t>Dr Mark Evans</t>
  </si>
  <si>
    <t>Orthopedics</t>
  </si>
  <si>
    <t>D05</t>
  </si>
  <si>
    <t>Dr Emily Watson</t>
  </si>
  <si>
    <t>Emergency</t>
  </si>
  <si>
    <t>PatientID</t>
  </si>
  <si>
    <t>PatientName</t>
  </si>
  <si>
    <t>Gender</t>
  </si>
  <si>
    <t>Age</t>
  </si>
  <si>
    <t>Borough</t>
  </si>
  <si>
    <t>P001</t>
  </si>
  <si>
    <t>Oliver Grant</t>
  </si>
  <si>
    <t>M</t>
  </si>
  <si>
    <t>Camden</t>
  </si>
  <si>
    <t>P002</t>
  </si>
  <si>
    <t>Aisha Khan</t>
  </si>
  <si>
    <t>F</t>
  </si>
  <si>
    <t>P003</t>
  </si>
  <si>
    <t>George Miller</t>
  </si>
  <si>
    <t>P004</t>
  </si>
  <si>
    <t>Sophia Reed</t>
  </si>
  <si>
    <t>P005</t>
  </si>
  <si>
    <t>Daniel Brown</t>
  </si>
  <si>
    <t>P006</t>
  </si>
  <si>
    <t>Mia Patel</t>
  </si>
  <si>
    <t>P007</t>
  </si>
  <si>
    <t>Thomas Clark</t>
  </si>
  <si>
    <t>P008</t>
  </si>
  <si>
    <t>Emily Scott</t>
  </si>
  <si>
    <t>P009</t>
  </si>
  <si>
    <t>Jacob Lewis</t>
  </si>
  <si>
    <t>P010</t>
  </si>
  <si>
    <t>Chloe Adams</t>
  </si>
  <si>
    <t>P011</t>
  </si>
  <si>
    <t>Noah White</t>
  </si>
  <si>
    <t>P012</t>
  </si>
  <si>
    <t>Lily Johnson</t>
  </si>
  <si>
    <t>P013</t>
  </si>
  <si>
    <t>Harry Walker</t>
  </si>
  <si>
    <t>P014</t>
  </si>
  <si>
    <t>Amelia Hall</t>
  </si>
  <si>
    <t>P015</t>
  </si>
  <si>
    <t>Oscar Young</t>
  </si>
  <si>
    <t>P016</t>
  </si>
  <si>
    <t>Grace King</t>
  </si>
  <si>
    <t>P017</t>
  </si>
  <si>
    <t>James Wright</t>
  </si>
  <si>
    <t>P018</t>
  </si>
  <si>
    <t>Isabella Green</t>
  </si>
  <si>
    <t>P019</t>
  </si>
  <si>
    <t>William Baker</t>
  </si>
  <si>
    <t>P020</t>
  </si>
  <si>
    <t>Sophia Turner</t>
  </si>
  <si>
    <t>P021</t>
  </si>
  <si>
    <t>Alexander Hill</t>
  </si>
  <si>
    <t>P022</t>
  </si>
  <si>
    <t>Ella Carter</t>
  </si>
  <si>
    <t>P023</t>
  </si>
  <si>
    <t>Michael Evans</t>
  </si>
  <si>
    <t>P024</t>
  </si>
  <si>
    <t>Harper Collins</t>
  </si>
  <si>
    <t>P025</t>
  </si>
  <si>
    <t>Leo Murphy</t>
  </si>
  <si>
    <t>P026</t>
  </si>
  <si>
    <t>Charlotte Ward</t>
  </si>
  <si>
    <t>P027</t>
  </si>
  <si>
    <t>Henry Cooper</t>
  </si>
  <si>
    <t>P028</t>
  </si>
  <si>
    <t>Lucy Richardson</t>
  </si>
  <si>
    <t>P029</t>
  </si>
  <si>
    <t>Max Bailey</t>
  </si>
  <si>
    <t>P030</t>
  </si>
  <si>
    <t>Victoria Cox</t>
  </si>
  <si>
    <t>P031</t>
  </si>
  <si>
    <t>Samuel Howard</t>
  </si>
  <si>
    <t>P032</t>
  </si>
  <si>
    <t>Zoe Brooks</t>
  </si>
  <si>
    <t>P033</t>
  </si>
  <si>
    <t>Joseph Kelly</t>
  </si>
  <si>
    <t>P034</t>
  </si>
  <si>
    <t>Aria Morgan</t>
  </si>
  <si>
    <t>P035</t>
  </si>
  <si>
    <t>David Bell</t>
  </si>
  <si>
    <t>P412</t>
  </si>
  <si>
    <t>Olivia Bennett</t>
  </si>
  <si>
    <t>Islington</t>
  </si>
  <si>
    <t>P883</t>
  </si>
  <si>
    <t>James Carter</t>
  </si>
  <si>
    <t>P156</t>
  </si>
  <si>
    <t>Amelia Collins</t>
  </si>
  <si>
    <t>P740</t>
  </si>
  <si>
    <t>Noah Mitchell</t>
  </si>
  <si>
    <t>P295</t>
  </si>
  <si>
    <t>Sophia Edwards</t>
  </si>
  <si>
    <t>P918</t>
  </si>
  <si>
    <t>George Parker</t>
  </si>
  <si>
    <t>P364</t>
  </si>
  <si>
    <t>Lily Turner</t>
  </si>
  <si>
    <t>P577</t>
  </si>
  <si>
    <t>Henry Adams</t>
  </si>
  <si>
    <t>P803</t>
  </si>
  <si>
    <t>Isla Morgan</t>
  </si>
  <si>
    <t>P109</t>
  </si>
  <si>
    <t>William Scott</t>
  </si>
  <si>
    <t>P690</t>
  </si>
  <si>
    <t>Emily Ward</t>
  </si>
  <si>
    <t>P471</t>
  </si>
  <si>
    <t>Jack Brown</t>
  </si>
  <si>
    <t>P852</t>
  </si>
  <si>
    <t>Charlotte Lewis</t>
  </si>
  <si>
    <t>P233</t>
  </si>
  <si>
    <t>Thomas Walker</t>
  </si>
  <si>
    <t>P615</t>
  </si>
  <si>
    <t>Mia Hall</t>
  </si>
  <si>
    <t>P997</t>
  </si>
  <si>
    <t>Daniel Green</t>
  </si>
  <si>
    <t>P142</t>
  </si>
  <si>
    <t>Grace Young</t>
  </si>
  <si>
    <t>P508</t>
  </si>
  <si>
    <t>Joseph King</t>
  </si>
  <si>
    <t>P771</t>
  </si>
  <si>
    <t>Aria Wright</t>
  </si>
  <si>
    <t>P326</t>
  </si>
  <si>
    <t>Michael Hill</t>
  </si>
  <si>
    <t>P889</t>
  </si>
  <si>
    <t>Chloe Baker</t>
  </si>
  <si>
    <t>P190</t>
  </si>
  <si>
    <t>Samuel Evans</t>
  </si>
  <si>
    <t>P654</t>
  </si>
  <si>
    <t>Ella Nelson</t>
  </si>
  <si>
    <t>P430</t>
  </si>
  <si>
    <t>David Carter</t>
  </si>
  <si>
    <t>P975</t>
  </si>
  <si>
    <t>Harper Brooks</t>
  </si>
  <si>
    <t>P281</t>
  </si>
  <si>
    <t>Matthew Cooper</t>
  </si>
  <si>
    <t>P516</t>
  </si>
  <si>
    <t>Zoe Richardson</t>
  </si>
  <si>
    <t>P843</t>
  </si>
  <si>
    <t>Andrew Bailey</t>
  </si>
  <si>
    <t>P399</t>
  </si>
  <si>
    <t>Lucy Kelly</t>
  </si>
  <si>
    <t>P728</t>
  </si>
  <si>
    <t>Joshua Howard</t>
  </si>
  <si>
    <t>P260</t>
  </si>
  <si>
    <t>P905</t>
  </si>
  <si>
    <t>Edward James</t>
  </si>
  <si>
    <t>P337</t>
  </si>
  <si>
    <t>Sophie Long</t>
  </si>
  <si>
    <t>P682</t>
  </si>
  <si>
    <t>Max Perry</t>
  </si>
  <si>
    <t>P144</t>
  </si>
  <si>
    <t>Freya Powell</t>
  </si>
  <si>
    <t>P078</t>
  </si>
  <si>
    <t>Amelia Stone</t>
  </si>
  <si>
    <t>Hackney</t>
  </si>
  <si>
    <t>P055</t>
  </si>
  <si>
    <t>Noah Bennett</t>
  </si>
  <si>
    <t>P093</t>
  </si>
  <si>
    <t>Sophia Clarke</t>
  </si>
  <si>
    <t>P061</t>
  </si>
  <si>
    <t>Oliver Hughes</t>
  </si>
  <si>
    <t>P084</t>
  </si>
  <si>
    <t>Mia Foster</t>
  </si>
  <si>
    <t>P052</t>
  </si>
  <si>
    <t>James Price</t>
  </si>
  <si>
    <t>P067</t>
  </si>
  <si>
    <t>Isla Reed</t>
  </si>
  <si>
    <t>P099</t>
  </si>
  <si>
    <t>George Ward</t>
  </si>
  <si>
    <t>P073</t>
  </si>
  <si>
    <t>Lily Cox</t>
  </si>
  <si>
    <t>P058</t>
  </si>
  <si>
    <t>Henry Brooks</t>
  </si>
  <si>
    <t>P081</t>
  </si>
  <si>
    <t>Emily Parker</t>
  </si>
  <si>
    <t>P064</t>
  </si>
  <si>
    <t>William Turner</t>
  </si>
  <si>
    <t>P096</t>
  </si>
  <si>
    <t>Charlotte Evans</t>
  </si>
  <si>
    <t>P051</t>
  </si>
  <si>
    <t>Thomas Collins</t>
  </si>
  <si>
    <t>P088</t>
  </si>
  <si>
    <t>Grace Mitchell</t>
  </si>
  <si>
    <t>P070</t>
  </si>
  <si>
    <t>Daniel Scott</t>
  </si>
  <si>
    <t>P083</t>
  </si>
  <si>
    <t>Ella Murphy</t>
  </si>
  <si>
    <t>P060</t>
  </si>
  <si>
    <t>Joseph Bailey</t>
  </si>
  <si>
    <t>P097</t>
  </si>
  <si>
    <t>Aria Kelly</t>
  </si>
  <si>
    <t>P056</t>
  </si>
  <si>
    <t>Michael Howard</t>
  </si>
  <si>
    <t>P074</t>
  </si>
  <si>
    <t>Chloe Richardson</t>
  </si>
  <si>
    <t>P062</t>
  </si>
  <si>
    <t>Samuel Cooper</t>
  </si>
  <si>
    <t>P089</t>
  </si>
  <si>
    <t>Zoe James</t>
  </si>
  <si>
    <t>P066</t>
  </si>
  <si>
    <t>David Long</t>
  </si>
  <si>
    <t>P080</t>
  </si>
  <si>
    <t>Harper Green</t>
  </si>
  <si>
    <t>P053</t>
  </si>
  <si>
    <t>Matthew Baker</t>
  </si>
  <si>
    <t>P095</t>
  </si>
  <si>
    <t>Sophie Hill</t>
  </si>
  <si>
    <t>P071</t>
  </si>
  <si>
    <t>Andrew Carter</t>
  </si>
  <si>
    <t>P059</t>
  </si>
  <si>
    <t>Lucy Nelson</t>
  </si>
  <si>
    <t>P087</t>
  </si>
  <si>
    <t>Joshua Wright</t>
  </si>
  <si>
    <t>P063</t>
  </si>
  <si>
    <t>Victoria Allen</t>
  </si>
  <si>
    <t>P090</t>
  </si>
  <si>
    <t>Edward King</t>
  </si>
  <si>
    <t>P068</t>
  </si>
  <si>
    <t>Freya Adams</t>
  </si>
  <si>
    <t>P075</t>
  </si>
  <si>
    <t>Max Powell</t>
  </si>
  <si>
    <t>P057</t>
  </si>
  <si>
    <t>Lily Morgan</t>
  </si>
  <si>
    <t>P112</t>
  </si>
  <si>
    <t>Lambeth</t>
  </si>
  <si>
    <t>P038</t>
  </si>
  <si>
    <t>Sophia Khan</t>
  </si>
  <si>
    <t>P121</t>
  </si>
  <si>
    <t>P045</t>
  </si>
  <si>
    <t>Amelia Reed</t>
  </si>
  <si>
    <t>P103</t>
  </si>
  <si>
    <t>P116</t>
  </si>
  <si>
    <t>P039</t>
  </si>
  <si>
    <t>P110</t>
  </si>
  <si>
    <t>P047</t>
  </si>
  <si>
    <t>P101</t>
  </si>
  <si>
    <t>P044</t>
  </si>
  <si>
    <t>P118</t>
  </si>
  <si>
    <t>P037</t>
  </si>
  <si>
    <t>P124</t>
  </si>
  <si>
    <t>P106</t>
  </si>
  <si>
    <t>P042</t>
  </si>
  <si>
    <t>P114</t>
  </si>
  <si>
    <t>P049</t>
  </si>
  <si>
    <t>P108</t>
  </si>
  <si>
    <t>P120</t>
  </si>
  <si>
    <t>P040</t>
  </si>
  <si>
    <t>P113</t>
  </si>
  <si>
    <t>P102</t>
  </si>
  <si>
    <t>P117</t>
  </si>
  <si>
    <t>P046</t>
  </si>
  <si>
    <t>P115</t>
  </si>
  <si>
    <t>P043</t>
  </si>
  <si>
    <t>P111</t>
  </si>
  <si>
    <t>P048</t>
  </si>
  <si>
    <t>P241</t>
  </si>
  <si>
    <t>Oliver Hayes</t>
  </si>
  <si>
    <t>Southwark</t>
  </si>
  <si>
    <t>P205</t>
  </si>
  <si>
    <t>Sophia Morgan</t>
  </si>
  <si>
    <t>P259</t>
  </si>
  <si>
    <t>George Ellis</t>
  </si>
  <si>
    <t>P218</t>
  </si>
  <si>
    <t>Amelia Hughes</t>
  </si>
  <si>
    <t>P230</t>
  </si>
  <si>
    <t>Daniel Ward</t>
  </si>
  <si>
    <t>P202</t>
  </si>
  <si>
    <t>P247</t>
  </si>
  <si>
    <t>Thomas Green</t>
  </si>
  <si>
    <t>P214</t>
  </si>
  <si>
    <t>Emily Clark</t>
  </si>
  <si>
    <t>P255</t>
  </si>
  <si>
    <t>Jacob Wright</t>
  </si>
  <si>
    <t>P209</t>
  </si>
  <si>
    <t>Chloe Bennett</t>
  </si>
  <si>
    <t>P236</t>
  </si>
  <si>
    <t>Noah Baker</t>
  </si>
  <si>
    <t>P221</t>
  </si>
  <si>
    <t>Lily Carter</t>
  </si>
  <si>
    <t>P250</t>
  </si>
  <si>
    <t>Harry Evans</t>
  </si>
  <si>
    <t>P206</t>
  </si>
  <si>
    <t>Amelia Brooks</t>
  </si>
  <si>
    <t>P219</t>
  </si>
  <si>
    <t>Grace Allen</t>
  </si>
  <si>
    <t>P244</t>
  </si>
  <si>
    <t>James Hill</t>
  </si>
  <si>
    <t>P212</t>
  </si>
  <si>
    <t>Isabella King</t>
  </si>
  <si>
    <t>P251</t>
  </si>
  <si>
    <t>P227</t>
  </si>
  <si>
    <t>P203</t>
  </si>
  <si>
    <t>Alexander White</t>
  </si>
  <si>
    <t>P246</t>
  </si>
  <si>
    <t>Ella Lewis</t>
  </si>
  <si>
    <t>P220</t>
  </si>
  <si>
    <t>Harper Kelly</t>
  </si>
  <si>
    <t>P257</t>
  </si>
  <si>
    <t>P211</t>
  </si>
  <si>
    <t>P274</t>
  </si>
  <si>
    <t>Amelia Rahman</t>
  </si>
  <si>
    <t>Tower Hamlets</t>
  </si>
  <si>
    <t>P291</t>
  </si>
  <si>
    <t>Noah Ali</t>
  </si>
  <si>
    <t>P263</t>
  </si>
  <si>
    <t>Sophia Chowdhury</t>
  </si>
  <si>
    <t>P280</t>
  </si>
  <si>
    <t>Oliver Karim</t>
  </si>
  <si>
    <t>P268</t>
  </si>
  <si>
    <t>James Ahmed</t>
  </si>
  <si>
    <t>P283</t>
  </si>
  <si>
    <t>Lily Begum</t>
  </si>
  <si>
    <t>P270</t>
  </si>
  <si>
    <t>George Islam</t>
  </si>
  <si>
    <t>P289</t>
  </si>
  <si>
    <t>Isla Khan</t>
  </si>
  <si>
    <t>P265</t>
  </si>
  <si>
    <t>Henry Rahman</t>
  </si>
  <si>
    <t>P292</t>
  </si>
  <si>
    <t>Emily Uddin</t>
  </si>
  <si>
    <t>P276</t>
  </si>
  <si>
    <t>William Chow</t>
  </si>
  <si>
    <t>P261</t>
  </si>
  <si>
    <t>Charlotte Ali</t>
  </si>
  <si>
    <t>P287</t>
  </si>
  <si>
    <t>Thomas Karim</t>
  </si>
  <si>
    <t>P273</t>
  </si>
  <si>
    <t>Grace Hussain</t>
  </si>
  <si>
    <t>P284</t>
  </si>
  <si>
    <t>Daniel Ahmed</t>
  </si>
  <si>
    <t>P269</t>
  </si>
  <si>
    <t>Ella Begum</t>
  </si>
  <si>
    <t>P278</t>
  </si>
  <si>
    <t>Joseph Islam</t>
  </si>
  <si>
    <t>P264</t>
  </si>
  <si>
    <t>Aria Khan</t>
  </si>
  <si>
    <t>P290</t>
  </si>
  <si>
    <t>Michael Rahman</t>
  </si>
  <si>
    <t>P272</t>
  </si>
  <si>
    <t>Chloe Ali</t>
  </si>
  <si>
    <t>P286</t>
  </si>
  <si>
    <t>Samuel Chowdhury</t>
  </si>
  <si>
    <t>P277</t>
  </si>
  <si>
    <t>Zoe Karim</t>
  </si>
  <si>
    <t>P266</t>
  </si>
  <si>
    <t>David Hussain</t>
  </si>
  <si>
    <t>P294</t>
  </si>
  <si>
    <t>Harper Ahmed</t>
  </si>
  <si>
    <t>P279</t>
  </si>
  <si>
    <t>Sophie Islam</t>
  </si>
  <si>
    <t>P275</t>
  </si>
  <si>
    <t>Andrew Khan</t>
  </si>
  <si>
    <t>P262</t>
  </si>
  <si>
    <t>Lucy Rahman</t>
  </si>
  <si>
    <t>P288</t>
  </si>
  <si>
    <t>Joshua Ali</t>
  </si>
  <si>
    <t>P267</t>
  </si>
  <si>
    <t>Victoria Karim</t>
  </si>
  <si>
    <t>P282</t>
  </si>
  <si>
    <t>Edward Hussain</t>
  </si>
  <si>
    <t>P423</t>
  </si>
  <si>
    <t>Sophia Bennett</t>
  </si>
  <si>
    <t>Kensington &amp; Chelsea</t>
  </si>
  <si>
    <t>P401</t>
  </si>
  <si>
    <t>P447</t>
  </si>
  <si>
    <t>Amelia Clarke</t>
  </si>
  <si>
    <t>P410</t>
  </si>
  <si>
    <t>P436</t>
  </si>
  <si>
    <t>P419</t>
  </si>
  <si>
    <t>James Green</t>
  </si>
  <si>
    <t>P442</t>
  </si>
  <si>
    <t>P405</t>
  </si>
  <si>
    <t>P450</t>
  </si>
  <si>
    <t>P413</t>
  </si>
  <si>
    <t>Noah Parker</t>
  </si>
  <si>
    <t>P428</t>
  </si>
  <si>
    <t>P407</t>
  </si>
  <si>
    <t>P444</t>
  </si>
  <si>
    <t>P402</t>
  </si>
  <si>
    <t>Thomas Hill</t>
  </si>
  <si>
    <t>P431</t>
  </si>
  <si>
    <t>P415</t>
  </si>
  <si>
    <t>Daniel King</t>
  </si>
  <si>
    <t>P439</t>
  </si>
  <si>
    <t>P421</t>
  </si>
  <si>
    <t>P449</t>
  </si>
  <si>
    <t>P406</t>
  </si>
  <si>
    <t>P433</t>
  </si>
  <si>
    <t>P418</t>
  </si>
  <si>
    <t>P441</t>
  </si>
  <si>
    <t>P409</t>
  </si>
  <si>
    <t>P446</t>
  </si>
  <si>
    <t>P417</t>
  </si>
  <si>
    <t>P434</t>
  </si>
  <si>
    <t>P404</t>
  </si>
  <si>
    <t>P448</t>
  </si>
  <si>
    <t>P420</t>
  </si>
  <si>
    <t>P411</t>
  </si>
  <si>
    <t>P437</t>
  </si>
  <si>
    <t>P426</t>
  </si>
  <si>
    <t>P429</t>
  </si>
  <si>
    <t>P632</t>
  </si>
  <si>
    <t>Oliver Price</t>
  </si>
  <si>
    <t>Wandsworth</t>
  </si>
  <si>
    <t>P605</t>
  </si>
  <si>
    <t>P649</t>
  </si>
  <si>
    <t>George Harris</t>
  </si>
  <si>
    <t>P618</t>
  </si>
  <si>
    <t>Amelia Clark</t>
  </si>
  <si>
    <t>P630</t>
  </si>
  <si>
    <t>Daniel Wood</t>
  </si>
  <si>
    <t>P602</t>
  </si>
  <si>
    <t>Mia Turner</t>
  </si>
  <si>
    <t>P647</t>
  </si>
  <si>
    <t>P614</t>
  </si>
  <si>
    <t>P655</t>
  </si>
  <si>
    <t>P609</t>
  </si>
  <si>
    <t>P636</t>
  </si>
  <si>
    <t>P621</t>
  </si>
  <si>
    <t>P650</t>
  </si>
  <si>
    <t>P606</t>
  </si>
  <si>
    <t>P658</t>
  </si>
  <si>
    <t>P619</t>
  </si>
  <si>
    <t>P634</t>
  </si>
  <si>
    <t>P612</t>
  </si>
  <si>
    <t>P651</t>
  </si>
  <si>
    <t>P627</t>
  </si>
  <si>
    <t>P603</t>
  </si>
  <si>
    <t>P646</t>
  </si>
  <si>
    <t>P633</t>
  </si>
  <si>
    <t>P620</t>
  </si>
  <si>
    <t>P657</t>
  </si>
  <si>
    <t>P611</t>
  </si>
  <si>
    <t>P643</t>
  </si>
  <si>
    <t>P742</t>
  </si>
  <si>
    <t>City of London</t>
  </si>
  <si>
    <t>P701</t>
  </si>
  <si>
    <t>P759</t>
  </si>
  <si>
    <t>George Carter</t>
  </si>
  <si>
    <t>P715</t>
  </si>
  <si>
    <t>P733</t>
  </si>
  <si>
    <t>P706</t>
  </si>
  <si>
    <t>P748</t>
  </si>
  <si>
    <t>P718</t>
  </si>
  <si>
    <t>P755</t>
  </si>
  <si>
    <t>P709</t>
  </si>
  <si>
    <t>P736</t>
  </si>
  <si>
    <t>P721</t>
  </si>
  <si>
    <t>P750</t>
  </si>
  <si>
    <t>P704</t>
  </si>
  <si>
    <t>P758</t>
  </si>
  <si>
    <t>P719</t>
  </si>
  <si>
    <t>P734</t>
  </si>
  <si>
    <t>P712</t>
  </si>
  <si>
    <t>P751</t>
  </si>
  <si>
    <t>P727</t>
  </si>
  <si>
    <t>P703</t>
  </si>
  <si>
    <t>P746</t>
  </si>
  <si>
    <t>P720</t>
  </si>
  <si>
    <t>P757</t>
  </si>
  <si>
    <t>TreatmentID</t>
  </si>
  <si>
    <t>AdmissionID</t>
  </si>
  <si>
    <t>TreatmentName</t>
  </si>
  <si>
    <t>TreatmentCost</t>
  </si>
  <si>
    <t>T001</t>
  </si>
  <si>
    <t>A001</t>
  </si>
  <si>
    <t>Inhaler Therapy</t>
  </si>
  <si>
    <t>T002</t>
  </si>
  <si>
    <t>A002</t>
  </si>
  <si>
    <t>Antiviral Medication</t>
  </si>
  <si>
    <t>T003</t>
  </si>
  <si>
    <t>A003</t>
  </si>
  <si>
    <t>Blood Pressure Control</t>
  </si>
  <si>
    <t>T004</t>
  </si>
  <si>
    <t>A004</t>
  </si>
  <si>
    <t>Pain Relief Therapy</t>
  </si>
  <si>
    <t>T005</t>
  </si>
  <si>
    <t>A005</t>
  </si>
  <si>
    <t>Orthopedic Surgery</t>
  </si>
  <si>
    <t>T006</t>
  </si>
  <si>
    <t>A006</t>
  </si>
  <si>
    <t>Insulin Adjustment</t>
  </si>
  <si>
    <t>T007</t>
  </si>
  <si>
    <t>A007</t>
  </si>
  <si>
    <t>Antibiotics Course</t>
  </si>
  <si>
    <t>T008</t>
  </si>
  <si>
    <t>A008</t>
  </si>
  <si>
    <t>Appendectomy Surgery</t>
  </si>
  <si>
    <t>T009</t>
  </si>
  <si>
    <t>A009</t>
  </si>
  <si>
    <t>Antihistamine Treatment</t>
  </si>
  <si>
    <t>T010</t>
  </si>
  <si>
    <t>A010</t>
  </si>
  <si>
    <t>IV Fluids</t>
  </si>
  <si>
    <t>T011</t>
  </si>
  <si>
    <t>A011</t>
  </si>
  <si>
    <t>Physiotherapy</t>
  </si>
  <si>
    <t>T012</t>
  </si>
  <si>
    <t>A012</t>
  </si>
  <si>
    <t>Flu Medication</t>
  </si>
  <si>
    <t>T013</t>
  </si>
  <si>
    <t>A013</t>
  </si>
  <si>
    <t>Pneumonia Treatment</t>
  </si>
  <si>
    <t>T014</t>
  </si>
  <si>
    <t>A014</t>
  </si>
  <si>
    <t>Joint Support Therapy</t>
  </si>
  <si>
    <t>T015</t>
  </si>
  <si>
    <t>A015</t>
  </si>
  <si>
    <t>Cardiac Monitoring</t>
  </si>
  <si>
    <t>T016</t>
  </si>
  <si>
    <t>A016</t>
  </si>
  <si>
    <t>Respiratory Therapy</t>
  </si>
  <si>
    <t>T017</t>
  </si>
  <si>
    <t>A017</t>
  </si>
  <si>
    <t>Fracture Casting</t>
  </si>
  <si>
    <t>T018</t>
  </si>
  <si>
    <t>A018</t>
  </si>
  <si>
    <t>Migraine Treatment</t>
  </si>
  <si>
    <t>T019</t>
  </si>
  <si>
    <t>A019</t>
  </si>
  <si>
    <t>Flu Recovery Plan</t>
  </si>
  <si>
    <t>T020</t>
  </si>
  <si>
    <t>A020</t>
  </si>
  <si>
    <t>Surgical Appendectomy</t>
  </si>
  <si>
    <t>T021</t>
  </si>
  <si>
    <t>A021</t>
  </si>
  <si>
    <t>Diabetes Monitoring</t>
  </si>
  <si>
    <t>T022</t>
  </si>
  <si>
    <t>A022</t>
  </si>
  <si>
    <t>Chest Antibiotics</t>
  </si>
  <si>
    <t>T023</t>
  </si>
  <si>
    <t>A023</t>
  </si>
  <si>
    <t>Gastro Treatment</t>
  </si>
  <si>
    <t>T024</t>
  </si>
  <si>
    <t>A024</t>
  </si>
  <si>
    <t>Allergy Injection</t>
  </si>
  <si>
    <t>T025</t>
  </si>
  <si>
    <t>A025</t>
  </si>
  <si>
    <t>Flu Care</t>
  </si>
  <si>
    <t>T026</t>
  </si>
  <si>
    <t>A026</t>
  </si>
  <si>
    <t>Pneumonia Antibiotics</t>
  </si>
  <si>
    <t>T027</t>
  </si>
  <si>
    <t>A027</t>
  </si>
  <si>
    <t>Back Pain Therapy</t>
  </si>
  <si>
    <t>T028</t>
  </si>
  <si>
    <t>A028</t>
  </si>
  <si>
    <t>Hypertension Medication</t>
  </si>
  <si>
    <t>T029</t>
  </si>
  <si>
    <t>A029</t>
  </si>
  <si>
    <t>Fracture Rehab</t>
  </si>
  <si>
    <t>T030</t>
  </si>
  <si>
    <t>A030</t>
  </si>
  <si>
    <t>Asthma Control</t>
  </si>
  <si>
    <t>T031</t>
  </si>
  <si>
    <t>A031</t>
  </si>
  <si>
    <t>Pain Relief</t>
  </si>
  <si>
    <t>T032</t>
  </si>
  <si>
    <t>A032</t>
  </si>
  <si>
    <t>Antiviral Course</t>
  </si>
  <si>
    <t>T033</t>
  </si>
  <si>
    <t>A033</t>
  </si>
  <si>
    <t>Chest Infection Care</t>
  </si>
  <si>
    <t>T034</t>
  </si>
  <si>
    <t>A034</t>
  </si>
  <si>
    <t>Sprain Recovery</t>
  </si>
  <si>
    <t>T035</t>
  </si>
  <si>
    <t>A035</t>
  </si>
  <si>
    <t>Blood Pressure Treatment</t>
  </si>
  <si>
    <t>T812</t>
  </si>
  <si>
    <t>A742</t>
  </si>
  <si>
    <t>T465</t>
  </si>
  <si>
    <t>A185</t>
  </si>
  <si>
    <t>T903</t>
  </si>
  <si>
    <t>A639</t>
  </si>
  <si>
    <t>T214</t>
  </si>
  <si>
    <t>A901</t>
  </si>
  <si>
    <t>T677</t>
  </si>
  <si>
    <t>A317</t>
  </si>
  <si>
    <t>T390</t>
  </si>
  <si>
    <t>A588</t>
  </si>
  <si>
    <t>T521</t>
  </si>
  <si>
    <t>A210</t>
  </si>
  <si>
    <t>T846</t>
  </si>
  <si>
    <t>A776</t>
  </si>
  <si>
    <t>T135</t>
  </si>
  <si>
    <t>A432</t>
  </si>
  <si>
    <t>T998</t>
  </si>
  <si>
    <t>A860</t>
  </si>
  <si>
    <t>T304</t>
  </si>
  <si>
    <t>A155</t>
  </si>
  <si>
    <t>T659</t>
  </si>
  <si>
    <t>A993</t>
  </si>
  <si>
    <t>T487</t>
  </si>
  <si>
    <t>A346</t>
  </si>
  <si>
    <t>T722</t>
  </si>
  <si>
    <t>A710</t>
  </si>
  <si>
    <t>T158</t>
  </si>
  <si>
    <t>A509</t>
  </si>
  <si>
    <t>T834</t>
  </si>
  <si>
    <t>A268</t>
  </si>
  <si>
    <t>T291</t>
  </si>
  <si>
    <t>A814</t>
  </si>
  <si>
    <t>T906</t>
  </si>
  <si>
    <t>A390</t>
  </si>
  <si>
    <t>T473</t>
  </si>
  <si>
    <t>A657</t>
  </si>
  <si>
    <t>T120</t>
  </si>
  <si>
    <t>A123</t>
  </si>
  <si>
    <t>T685</t>
  </si>
  <si>
    <t>A978</t>
  </si>
  <si>
    <t>Blood Pressure Therapy</t>
  </si>
  <si>
    <t>T537</t>
  </si>
  <si>
    <t>A441</t>
  </si>
  <si>
    <t>T248</t>
  </si>
  <si>
    <t>A805</t>
  </si>
  <si>
    <t>Gastroenteritis Treatment</t>
  </si>
  <si>
    <t>T819</t>
  </si>
  <si>
    <t>A566</t>
  </si>
  <si>
    <t>T364</t>
  </si>
  <si>
    <t>A219</t>
  </si>
  <si>
    <t>Migraine Relief</t>
  </si>
  <si>
    <t>T902</t>
  </si>
  <si>
    <t>A734</t>
  </si>
  <si>
    <t>Pneumonia Care</t>
  </si>
  <si>
    <t>T415</t>
  </si>
  <si>
    <t>A381</t>
  </si>
  <si>
    <t>Flu Care Plan</t>
  </si>
  <si>
    <t>T678</t>
  </si>
  <si>
    <t>A690</t>
  </si>
  <si>
    <t>Asthma Control Plan</t>
  </si>
  <si>
    <t>T193</t>
  </si>
  <si>
    <t>A147</t>
  </si>
  <si>
    <t>Sprain Treatment</t>
  </si>
  <si>
    <t>T840</t>
  </si>
  <si>
    <t>A852</t>
  </si>
  <si>
    <t>Appendix Surgery</t>
  </si>
  <si>
    <t>T276</t>
  </si>
  <si>
    <t>A305</t>
  </si>
  <si>
    <t>Hypertension Treatment</t>
  </si>
  <si>
    <t>T951</t>
  </si>
  <si>
    <t>A963</t>
  </si>
  <si>
    <t>T502</t>
  </si>
  <si>
    <t>A418</t>
  </si>
  <si>
    <t>Chest Infection Therapy</t>
  </si>
  <si>
    <t>T633</t>
  </si>
  <si>
    <t>A579</t>
  </si>
  <si>
    <t>Fracture Treatment</t>
  </si>
  <si>
    <t>T144</t>
  </si>
  <si>
    <t>A234</t>
  </si>
  <si>
    <t>Migraine Care</t>
  </si>
  <si>
    <t>T078</t>
  </si>
  <si>
    <t>A078</t>
  </si>
  <si>
    <t>T055</t>
  </si>
  <si>
    <t>A055</t>
  </si>
  <si>
    <t>T093</t>
  </si>
  <si>
    <t>A093</t>
  </si>
  <si>
    <t>T061</t>
  </si>
  <si>
    <t>A061</t>
  </si>
  <si>
    <t>T084</t>
  </si>
  <si>
    <t>A084</t>
  </si>
  <si>
    <t>T052</t>
  </si>
  <si>
    <t>A052</t>
  </si>
  <si>
    <t>T067</t>
  </si>
  <si>
    <t>A067</t>
  </si>
  <si>
    <t>T099</t>
  </si>
  <si>
    <t>A099</t>
  </si>
  <si>
    <t>T073</t>
  </si>
  <si>
    <t>A073</t>
  </si>
  <si>
    <t>T058</t>
  </si>
  <si>
    <t>A058</t>
  </si>
  <si>
    <t>T081</t>
  </si>
  <si>
    <t>A081</t>
  </si>
  <si>
    <t>T064</t>
  </si>
  <si>
    <t>A064</t>
  </si>
  <si>
    <t>T096</t>
  </si>
  <si>
    <t>A096</t>
  </si>
  <si>
    <t>T051</t>
  </si>
  <si>
    <t>A051</t>
  </si>
  <si>
    <t>T088</t>
  </si>
  <si>
    <t>A088</t>
  </si>
  <si>
    <t>T070</t>
  </si>
  <si>
    <t>A070</t>
  </si>
  <si>
    <t>T083</t>
  </si>
  <si>
    <t>A083</t>
  </si>
  <si>
    <t>T060</t>
  </si>
  <si>
    <t>A060</t>
  </si>
  <si>
    <t>T097</t>
  </si>
  <si>
    <t>A097</t>
  </si>
  <si>
    <t>T056</t>
  </si>
  <si>
    <t>A056</t>
  </si>
  <si>
    <t>T074</t>
  </si>
  <si>
    <t>A074</t>
  </si>
  <si>
    <t>Asthma Treatment</t>
  </si>
  <si>
    <t>T062</t>
  </si>
  <si>
    <t>A062</t>
  </si>
  <si>
    <t>T089</t>
  </si>
  <si>
    <t>A089</t>
  </si>
  <si>
    <t>T066</t>
  </si>
  <si>
    <t>A066</t>
  </si>
  <si>
    <t>T080</t>
  </si>
  <si>
    <t>A080</t>
  </si>
  <si>
    <t>T053</t>
  </si>
  <si>
    <t>A053</t>
  </si>
  <si>
    <t>T095</t>
  </si>
  <si>
    <t>A095</t>
  </si>
  <si>
    <t>Hypertension Control</t>
  </si>
  <si>
    <t>T071</t>
  </si>
  <si>
    <t>A071</t>
  </si>
  <si>
    <t>Diabetes Care Plan</t>
  </si>
  <si>
    <t>T059</t>
  </si>
  <si>
    <t>A059</t>
  </si>
  <si>
    <t>Flu Therapy</t>
  </si>
  <si>
    <t>T087</t>
  </si>
  <si>
    <t>A087</t>
  </si>
  <si>
    <t>Appendicitis Surgery</t>
  </si>
  <si>
    <t>T063</t>
  </si>
  <si>
    <t>A063</t>
  </si>
  <si>
    <t>Asthma Management</t>
  </si>
  <si>
    <t>T090</t>
  </si>
  <si>
    <t>A090</t>
  </si>
  <si>
    <t>T068</t>
  </si>
  <si>
    <t>A068</t>
  </si>
  <si>
    <t>Sprain Recovery Program</t>
  </si>
  <si>
    <t>T075</t>
  </si>
  <si>
    <t>A075</t>
  </si>
  <si>
    <t>T057</t>
  </si>
  <si>
    <t>A057</t>
  </si>
  <si>
    <t>T112</t>
  </si>
  <si>
    <t>A112</t>
  </si>
  <si>
    <t>T038</t>
  </si>
  <si>
    <t>A038</t>
  </si>
  <si>
    <t>T121</t>
  </si>
  <si>
    <t>A121</t>
  </si>
  <si>
    <t>T045</t>
  </si>
  <si>
    <t>A045</t>
  </si>
  <si>
    <t>T103</t>
  </si>
  <si>
    <t>A103</t>
  </si>
  <si>
    <t>T116</t>
  </si>
  <si>
    <t>A116</t>
  </si>
  <si>
    <t>T039</t>
  </si>
  <si>
    <t>A039</t>
  </si>
  <si>
    <t>T110</t>
  </si>
  <si>
    <t>A110</t>
  </si>
  <si>
    <t>T047</t>
  </si>
  <si>
    <t>A047</t>
  </si>
  <si>
    <t>T101</t>
  </si>
  <si>
    <t>A101</t>
  </si>
  <si>
    <t>T044</t>
  </si>
  <si>
    <t>A044</t>
  </si>
  <si>
    <t>T118</t>
  </si>
  <si>
    <t>A118</t>
  </si>
  <si>
    <t>T037</t>
  </si>
  <si>
    <t>A037</t>
  </si>
  <si>
    <t>T124</t>
  </si>
  <si>
    <t>A124</t>
  </si>
  <si>
    <t>T106</t>
  </si>
  <si>
    <t>A106</t>
  </si>
  <si>
    <t>T042</t>
  </si>
  <si>
    <t>A042</t>
  </si>
  <si>
    <t>T114</t>
  </si>
  <si>
    <t>A114</t>
  </si>
  <si>
    <t>T049</t>
  </si>
  <si>
    <t>A049</t>
  </si>
  <si>
    <t>T108</t>
  </si>
  <si>
    <t>A108</t>
  </si>
  <si>
    <t>T040</t>
  </si>
  <si>
    <t>A040</t>
  </si>
  <si>
    <t>T113</t>
  </si>
  <si>
    <t>A113</t>
  </si>
  <si>
    <t>T102</t>
  </si>
  <si>
    <t>A102</t>
  </si>
  <si>
    <t>T117</t>
  </si>
  <si>
    <t>A117</t>
  </si>
  <si>
    <t>T046</t>
  </si>
  <si>
    <t>A046</t>
  </si>
  <si>
    <t>T115</t>
  </si>
  <si>
    <t>A115</t>
  </si>
  <si>
    <t>T043</t>
  </si>
  <si>
    <t>A043</t>
  </si>
  <si>
    <t>T111</t>
  </si>
  <si>
    <t>A111</t>
  </si>
  <si>
    <t>T048</t>
  </si>
  <si>
    <t>A048</t>
  </si>
  <si>
    <t>T241</t>
  </si>
  <si>
    <t>A241</t>
  </si>
  <si>
    <t>T205</t>
  </si>
  <si>
    <t>A205</t>
  </si>
  <si>
    <t>T259</t>
  </si>
  <si>
    <t>A259</t>
  </si>
  <si>
    <t>T218</t>
  </si>
  <si>
    <t>A218</t>
  </si>
  <si>
    <t>T230</t>
  </si>
  <si>
    <t>A230</t>
  </si>
  <si>
    <t>T202</t>
  </si>
  <si>
    <t>A202</t>
  </si>
  <si>
    <t>T247</t>
  </si>
  <si>
    <t>A247</t>
  </si>
  <si>
    <t>T255</t>
  </si>
  <si>
    <t>A255</t>
  </si>
  <si>
    <t>T209</t>
  </si>
  <si>
    <t>A209</t>
  </si>
  <si>
    <t>T236</t>
  </si>
  <si>
    <t>A236</t>
  </si>
  <si>
    <t>T221</t>
  </si>
  <si>
    <t>A221</t>
  </si>
  <si>
    <t>T250</t>
  </si>
  <si>
    <t>A250</t>
  </si>
  <si>
    <t>T206</t>
  </si>
  <si>
    <t>A206</t>
  </si>
  <si>
    <t>T260</t>
  </si>
  <si>
    <t>A260</t>
  </si>
  <si>
    <t>T219</t>
  </si>
  <si>
    <t>T244</t>
  </si>
  <si>
    <t>A244</t>
  </si>
  <si>
    <t>T212</t>
  </si>
  <si>
    <t>A212</t>
  </si>
  <si>
    <t>T251</t>
  </si>
  <si>
    <t>A251</t>
  </si>
  <si>
    <t>T227</t>
  </si>
  <si>
    <t>A227</t>
  </si>
  <si>
    <t>T203</t>
  </si>
  <si>
    <t>A203</t>
  </si>
  <si>
    <t>T246</t>
  </si>
  <si>
    <t>A246</t>
  </si>
  <si>
    <t>T233</t>
  </si>
  <si>
    <t>A233</t>
  </si>
  <si>
    <t>T220</t>
  </si>
  <si>
    <t>A220</t>
  </si>
  <si>
    <t>T257</t>
  </si>
  <si>
    <t>A257</t>
  </si>
  <si>
    <t>T211</t>
  </si>
  <si>
    <t>A211</t>
  </si>
  <si>
    <t>T374</t>
  </si>
  <si>
    <t>A314</t>
  </si>
  <si>
    <t>T361</t>
  </si>
  <si>
    <t>A301</t>
  </si>
  <si>
    <t>T388</t>
  </si>
  <si>
    <t>A328</t>
  </si>
  <si>
    <t>T370</t>
  </si>
  <si>
    <t>A310</t>
  </si>
  <si>
    <t>T394</t>
  </si>
  <si>
    <t>A334</t>
  </si>
  <si>
    <t>T365</t>
  </si>
  <si>
    <t>T382</t>
  </si>
  <si>
    <t>A322</t>
  </si>
  <si>
    <t>T377</t>
  </si>
  <si>
    <t>T393</t>
  </si>
  <si>
    <t>A333</t>
  </si>
  <si>
    <t>T363</t>
  </si>
  <si>
    <t>A303</t>
  </si>
  <si>
    <t>T379</t>
  </si>
  <si>
    <t>A319</t>
  </si>
  <si>
    <t>T366</t>
  </si>
  <si>
    <t>A306</t>
  </si>
  <si>
    <t>T375</t>
  </si>
  <si>
    <t>A315</t>
  </si>
  <si>
    <t>T384</t>
  </si>
  <si>
    <t>A324</t>
  </si>
  <si>
    <t>T368</t>
  </si>
  <si>
    <t>A308</t>
  </si>
  <si>
    <t>T389</t>
  </si>
  <si>
    <t>A329</t>
  </si>
  <si>
    <t>T372</t>
  </si>
  <si>
    <t>A312</t>
  </si>
  <si>
    <t>T381</t>
  </si>
  <si>
    <t>A321</t>
  </si>
  <si>
    <t>T376</t>
  </si>
  <si>
    <t>A316</t>
  </si>
  <si>
    <t>T369</t>
  </si>
  <si>
    <t>A309</t>
  </si>
  <si>
    <t>T387</t>
  </si>
  <si>
    <t>A327</t>
  </si>
  <si>
    <t>T380</t>
  </si>
  <si>
    <t>A320</t>
  </si>
  <si>
    <t>T373</t>
  </si>
  <si>
    <t>A313</t>
  </si>
  <si>
    <t>T392</t>
  </si>
  <si>
    <t>A332</t>
  </si>
  <si>
    <t>T385</t>
  </si>
  <si>
    <t>A326</t>
  </si>
  <si>
    <t>T378</t>
  </si>
  <si>
    <t>A318</t>
  </si>
  <si>
    <t>T362</t>
  </si>
  <si>
    <t>A302</t>
  </si>
  <si>
    <t>T383</t>
  </si>
  <si>
    <t>A325</t>
  </si>
  <si>
    <t>T371</t>
  </si>
  <si>
    <t>A311</t>
  </si>
  <si>
    <t>T391</t>
  </si>
  <si>
    <t>A331</t>
  </si>
  <si>
    <t>T523</t>
  </si>
  <si>
    <t>A472</t>
  </si>
  <si>
    <t>T501</t>
  </si>
  <si>
    <t>A451</t>
  </si>
  <si>
    <t>T548</t>
  </si>
  <si>
    <t>A498</t>
  </si>
  <si>
    <t>T510</t>
  </si>
  <si>
    <t>A460</t>
  </si>
  <si>
    <t>T539</t>
  </si>
  <si>
    <t>A489</t>
  </si>
  <si>
    <t>T505</t>
  </si>
  <si>
    <t>A455</t>
  </si>
  <si>
    <t>T520</t>
  </si>
  <si>
    <t>A470</t>
  </si>
  <si>
    <t>T533</t>
  </si>
  <si>
    <t>A483</t>
  </si>
  <si>
    <t>T549</t>
  </si>
  <si>
    <t>A499</t>
  </si>
  <si>
    <t>T503</t>
  </si>
  <si>
    <t>A453</t>
  </si>
  <si>
    <t>T518</t>
  </si>
  <si>
    <t>A468</t>
  </si>
  <si>
    <t>T507</t>
  </si>
  <si>
    <t>A457</t>
  </si>
  <si>
    <t>T541</t>
  </si>
  <si>
    <t>A491</t>
  </si>
  <si>
    <t>T512</t>
  </si>
  <si>
    <t>A462</t>
  </si>
  <si>
    <t>T530</t>
  </si>
  <si>
    <t>A480</t>
  </si>
  <si>
    <t>T516</t>
  </si>
  <si>
    <t>A466</t>
  </si>
  <si>
    <t>T535</t>
  </si>
  <si>
    <t>A485</t>
  </si>
  <si>
    <t>T509</t>
  </si>
  <si>
    <t>A459</t>
  </si>
  <si>
    <t>T527</t>
  </si>
  <si>
    <t>A477</t>
  </si>
  <si>
    <t>T504</t>
  </si>
  <si>
    <t>A454</t>
  </si>
  <si>
    <t>T519</t>
  </si>
  <si>
    <t>A469</t>
  </si>
  <si>
    <t>T532</t>
  </si>
  <si>
    <t>A482</t>
  </si>
  <si>
    <t>T508</t>
  </si>
  <si>
    <t>A458</t>
  </si>
  <si>
    <t>T545</t>
  </si>
  <si>
    <t>A495</t>
  </si>
  <si>
    <t>T513</t>
  </si>
  <si>
    <t>A463</t>
  </si>
  <si>
    <t>T526</t>
  </si>
  <si>
    <t>A476</t>
  </si>
  <si>
    <t>Pneumonia Therapy</t>
  </si>
  <si>
    <t>T540</t>
  </si>
  <si>
    <t>A490</t>
  </si>
  <si>
    <t>T506</t>
  </si>
  <si>
    <t>A456</t>
  </si>
  <si>
    <t>T534</t>
  </si>
  <si>
    <t>A484</t>
  </si>
  <si>
    <t>T547</t>
  </si>
  <si>
    <t>A497</t>
  </si>
  <si>
    <t>Flu Treatment</t>
  </si>
  <si>
    <t>T515</t>
  </si>
  <si>
    <t>A465</t>
  </si>
  <si>
    <t>T538</t>
  </si>
  <si>
    <t>A488</t>
  </si>
  <si>
    <t>T732</t>
  </si>
  <si>
    <t>A672</t>
  </si>
  <si>
    <t>T705</t>
  </si>
  <si>
    <t>A655</t>
  </si>
  <si>
    <t>T749</t>
  </si>
  <si>
    <t>A689</t>
  </si>
  <si>
    <t>T720</t>
  </si>
  <si>
    <t>A660</t>
  </si>
  <si>
    <t>T738</t>
  </si>
  <si>
    <t>A698</t>
  </si>
  <si>
    <t>T703</t>
  </si>
  <si>
    <t>A653</t>
  </si>
  <si>
    <t>T727</t>
  </si>
  <si>
    <t>A677</t>
  </si>
  <si>
    <t>T714</t>
  </si>
  <si>
    <t>A664</t>
  </si>
  <si>
    <t>T750</t>
  </si>
  <si>
    <t>A700</t>
  </si>
  <si>
    <t>T707</t>
  </si>
  <si>
    <t>T731</t>
  </si>
  <si>
    <t>A681</t>
  </si>
  <si>
    <t>T718</t>
  </si>
  <si>
    <t>A668</t>
  </si>
  <si>
    <t>T745</t>
  </si>
  <si>
    <t>A695</t>
  </si>
  <si>
    <t>T736</t>
  </si>
  <si>
    <t>A686</t>
  </si>
  <si>
    <t>T721</t>
  </si>
  <si>
    <t>A671</t>
  </si>
  <si>
    <t>T734</t>
  </si>
  <si>
    <t>A684</t>
  </si>
  <si>
    <t>T708</t>
  </si>
  <si>
    <t>A658</t>
  </si>
  <si>
    <t>T746</t>
  </si>
  <si>
    <t>A696</t>
  </si>
  <si>
    <t>T710</t>
  </si>
  <si>
    <t>A666</t>
  </si>
  <si>
    <t>T704</t>
  </si>
  <si>
    <t>A654</t>
  </si>
  <si>
    <t>T739</t>
  </si>
  <si>
    <t>A687</t>
  </si>
  <si>
    <t>T724</t>
  </si>
  <si>
    <t>A674</t>
  </si>
  <si>
    <t>T719</t>
  </si>
  <si>
    <t>A661</t>
  </si>
  <si>
    <t>T748</t>
  </si>
  <si>
    <t>A699</t>
  </si>
  <si>
    <t>T706</t>
  </si>
  <si>
    <t>A656</t>
  </si>
  <si>
    <t>T733</t>
  </si>
  <si>
    <t>A683</t>
  </si>
  <si>
    <t>T801</t>
  </si>
  <si>
    <t>A751</t>
  </si>
  <si>
    <t>T839</t>
  </si>
  <si>
    <t>A789</t>
  </si>
  <si>
    <t>T820</t>
  </si>
  <si>
    <t>A760</t>
  </si>
  <si>
    <t>T833</t>
  </si>
  <si>
    <t>A783</t>
  </si>
  <si>
    <t>T806</t>
  </si>
  <si>
    <t>A756</t>
  </si>
  <si>
    <t>T848</t>
  </si>
  <si>
    <t>A798</t>
  </si>
  <si>
    <t>T824</t>
  </si>
  <si>
    <t>A764</t>
  </si>
  <si>
    <t>T850</t>
  </si>
  <si>
    <t>A750</t>
  </si>
  <si>
    <t>T811</t>
  </si>
  <si>
    <t>A771</t>
  </si>
  <si>
    <t>T836</t>
  </si>
  <si>
    <t>A786</t>
  </si>
  <si>
    <t>T809</t>
  </si>
  <si>
    <t>A759</t>
  </si>
  <si>
    <t>T844</t>
  </si>
  <si>
    <t>A794</t>
  </si>
  <si>
    <t>T822</t>
  </si>
  <si>
    <t>A762</t>
  </si>
  <si>
    <t>T830</t>
  </si>
  <si>
    <t>A780</t>
  </si>
  <si>
    <t>T817</t>
  </si>
  <si>
    <t>A767</t>
  </si>
  <si>
    <t>T835</t>
  </si>
  <si>
    <t>A785</t>
  </si>
  <si>
    <t>T808</t>
  </si>
  <si>
    <t>A758</t>
  </si>
  <si>
    <t>T810</t>
  </si>
  <si>
    <t>A768</t>
  </si>
  <si>
    <t>T803</t>
  </si>
  <si>
    <t>A753</t>
  </si>
  <si>
    <t>T837</t>
  </si>
  <si>
    <t>A787</t>
  </si>
  <si>
    <t>T826</t>
  </si>
  <si>
    <t>A774</t>
  </si>
  <si>
    <t>T821</t>
  </si>
  <si>
    <t>A761</t>
  </si>
  <si>
    <t>T849</t>
  </si>
  <si>
    <t>A799</t>
  </si>
  <si>
    <t>AdmissionDate</t>
  </si>
  <si>
    <t>DischargeDate</t>
  </si>
  <si>
    <t>Diagnosis</t>
  </si>
  <si>
    <t>Patients.PatientName</t>
  </si>
  <si>
    <t>Patients.Gender</t>
  </si>
  <si>
    <t>Patients.Age</t>
  </si>
  <si>
    <t>Patients.Borough</t>
  </si>
  <si>
    <t>Doctors.DoctorName</t>
  </si>
  <si>
    <t>Doctors.Department</t>
  </si>
  <si>
    <t>Treatments.TreatmentName</t>
  </si>
  <si>
    <t>Treatments.TreatmentCost</t>
  </si>
  <si>
    <t>LengthOfStay</t>
  </si>
  <si>
    <t>AgeBand</t>
  </si>
  <si>
    <t>AdmissionMonth</t>
  </si>
  <si>
    <t>Asthma</t>
  </si>
  <si>
    <t>19-35</t>
  </si>
  <si>
    <t>January</t>
  </si>
  <si>
    <t>Flu</t>
  </si>
  <si>
    <t>February</t>
  </si>
  <si>
    <t>Hypertension</t>
  </si>
  <si>
    <t>51-65</t>
  </si>
  <si>
    <t>Migraine</t>
  </si>
  <si>
    <t>March</t>
  </si>
  <si>
    <t>Fracture</t>
  </si>
  <si>
    <t>36-50</t>
  </si>
  <si>
    <t>Diabetes Check</t>
  </si>
  <si>
    <t>April</t>
  </si>
  <si>
    <t>Chest Infection</t>
  </si>
  <si>
    <t>Appendicitis</t>
  </si>
  <si>
    <t>May</t>
  </si>
  <si>
    <t>Allergy</t>
  </si>
  <si>
    <t>0-18</t>
  </si>
  <si>
    <t>Gastroenteritis</t>
  </si>
  <si>
    <t>Back Pain</t>
  </si>
  <si>
    <t>June</t>
  </si>
  <si>
    <t>Pneumonia</t>
  </si>
  <si>
    <t>Sprain</t>
  </si>
  <si>
    <t>July</t>
  </si>
  <si>
    <t>August</t>
  </si>
  <si>
    <t>September</t>
  </si>
  <si>
    <t>October</t>
  </si>
  <si>
    <t>November</t>
  </si>
  <si>
    <t>December</t>
  </si>
  <si>
    <t>A120</t>
  </si>
  <si>
    <t>A214</t>
  </si>
  <si>
    <t>A330</t>
  </si>
  <si>
    <t>A307</t>
  </si>
  <si>
    <t>A452</t>
  </si>
  <si>
    <t>A471</t>
  </si>
  <si>
    <t>A662</t>
  </si>
  <si>
    <t>A772</t>
  </si>
  <si>
    <t>A796</t>
  </si>
  <si>
    <t>Sum of Treatments.TreatmentCost</t>
  </si>
  <si>
    <t>Row Labels</t>
  </si>
  <si>
    <t>Grand Total</t>
  </si>
  <si>
    <t>Count of AdmissionID</t>
  </si>
  <si>
    <t>Doctor</t>
  </si>
  <si>
    <t>Month</t>
  </si>
  <si>
    <t>Average of LengthOfStay</t>
  </si>
  <si>
    <t>Count of PatientID</t>
  </si>
  <si>
    <t>OVERALL STATUS</t>
  </si>
  <si>
    <t>MONTHLY REVENUE TOTALS</t>
  </si>
  <si>
    <t>JANUARY</t>
  </si>
  <si>
    <t>FEBRUARY</t>
  </si>
  <si>
    <t>MARCH</t>
  </si>
  <si>
    <t>APRIL</t>
  </si>
  <si>
    <t>MAY</t>
  </si>
  <si>
    <t>JUNE</t>
  </si>
  <si>
    <t>JULY</t>
  </si>
  <si>
    <t>AUGUST</t>
  </si>
  <si>
    <t>SEPTEMBER</t>
  </si>
  <si>
    <t>OCTOBER</t>
  </si>
  <si>
    <t>NOVEMBER</t>
  </si>
  <si>
    <t>DECEMBER</t>
  </si>
  <si>
    <t>QUARTERLY REVENUE TOTALS</t>
  </si>
  <si>
    <t>QUARTER 1</t>
  </si>
  <si>
    <t>QUARTER 2</t>
  </si>
  <si>
    <t>QUARTER 3</t>
  </si>
  <si>
    <t>QUARTER 4</t>
  </si>
  <si>
    <t>MONTHLY ADMISSION</t>
  </si>
  <si>
    <t>TOTAL ADMISSIONS</t>
  </si>
  <si>
    <t>AVERAGE LENGTH OF STAY</t>
  </si>
  <si>
    <t>Sum of Treatmen tCost</t>
  </si>
  <si>
    <t xml:space="preserve">TOTAL REVENUE </t>
  </si>
  <si>
    <t>ADMISSIONS BY DEPARTMENT</t>
  </si>
  <si>
    <t>NUMBER OF PATIENTS BY BOROUGH</t>
  </si>
  <si>
    <t>London Hospital Analytics Dashboard (2025 Data)</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</si>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</sst>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164" formatCode="&quot;£&quot;#,##0.00"/>
    <numFmt numFmtId="165" formatCode="0.0"/>
    <numFmt numFmtId="166" formatCode="_-&quot;$&quot;* #,##0.00_-;\-&quot;$&quot;* #,##0.00_-;_-&quot;$&quot;* &quot;-&quot;??_-;_-@_-"/>
    <numFmt numFmtId="167" formatCode="&quot;$&quot;#,##0.00"/>
  </numFmts>
  <fonts count="14" x14ac:knownFonts="1">
    <font>
      <sz val="11"/>
      <color theme="1"/>
      <name val="Calibri"/>
      <family val="2"/>
      <scheme val="minor"/>
    </font>
    <font>
      <b/>
      <sz val="11"/>
      <color theme="1"/>
      <name val="Calibri"/>
      <family val="2"/>
      <scheme val="minor"/>
    </font>
    <font>
      <sz val="12"/>
      <color theme="1"/>
      <name val="Calibri"/>
      <family val="2"/>
      <scheme val="minor"/>
    </font>
    <font>
      <sz val="10"/>
      <color theme="1"/>
      <name val="Century Gothic"/>
      <family val="1"/>
    </font>
    <font>
      <sz val="12"/>
      <color theme="1"/>
      <name val="Century Gothic"/>
      <family val="1"/>
    </font>
    <font>
      <sz val="20"/>
      <color theme="1"/>
      <name val="Century Gothic"/>
      <family val="1"/>
    </font>
    <font>
      <sz val="18"/>
      <color theme="1"/>
      <name val="Century Gothic"/>
      <family val="1"/>
    </font>
    <font>
      <sz val="12"/>
      <color indexed="8"/>
      <name val="Century Gothic"/>
      <family val="1"/>
    </font>
    <font>
      <sz val="14"/>
      <color theme="1" tint="0.34998626667073579"/>
      <name val="Century Gothic"/>
      <family val="1"/>
    </font>
    <font>
      <b/>
      <sz val="10"/>
      <color theme="1"/>
      <name val="Century Gothic"/>
      <family val="2"/>
    </font>
    <font>
      <b/>
      <sz val="24"/>
      <color theme="1" tint="0.34998626667073579"/>
      <name val="Century Gothic"/>
      <family val="1"/>
    </font>
    <font>
      <b/>
      <sz val="12"/>
      <color indexed="8"/>
      <name val="Century Gothic"/>
      <family val="2"/>
    </font>
    <font>
      <b/>
      <sz val="12"/>
      <color theme="1"/>
      <name val="Century Gothic"/>
      <family val="2"/>
    </font>
    <font>
      <b/>
      <sz val="14"/>
      <color theme="1" tint="0.34998626667073579"/>
      <name val="Century Gothic"/>
      <family val="2"/>
    </font>
  </fonts>
  <fills count="9">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4" tint="0.39997558519241921"/>
        <bgColor indexed="64"/>
      </patternFill>
    </fill>
  </fills>
  <borders count="3">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s>
  <cellStyleXfs count="4">
    <xf numFmtId="0" fontId="0" fillId="0" borderId="0"/>
    <xf numFmtId="0" fontId="2" fillId="0" borderId="0"/>
    <xf numFmtId="9" fontId="2" fillId="0" borderId="0" applyFont="0" applyFill="0" applyBorder="0" applyAlignment="0" applyProtection="0"/>
    <xf numFmtId="166" fontId="2" fillId="0" borderId="0" applyFont="0" applyFill="0" applyBorder="0" applyAlignment="0" applyProtection="0"/>
  </cellStyleXfs>
  <cellXfs count="51">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 fillId="0" borderId="0" xfId="0" applyNumberFormat="1" applyFont="1" applyAlignment="1">
      <alignment horizontal="center" vertical="center"/>
    </xf>
    <xf numFmtId="44" fontId="1" fillId="0" borderId="0" xfId="0" applyNumberFormat="1" applyFont="1" applyAlignment="1">
      <alignment horizontal="center" vertical="center"/>
    </xf>
    <xf numFmtId="165" fontId="1" fillId="0" borderId="0" xfId="0" applyNumberFormat="1" applyFont="1" applyAlignment="1">
      <alignment horizontal="center"/>
    </xf>
    <xf numFmtId="0" fontId="3" fillId="2" borderId="0" xfId="1" applyFont="1" applyFill="1" applyAlignment="1">
      <alignment wrapText="1"/>
    </xf>
    <xf numFmtId="0" fontId="3" fillId="0" borderId="0" xfId="1" applyFont="1" applyAlignment="1">
      <alignment wrapText="1"/>
    </xf>
    <xf numFmtId="0" fontId="4" fillId="0" borderId="0" xfId="1" applyFont="1"/>
    <xf numFmtId="0" fontId="5" fillId="0" borderId="0" xfId="1" applyFont="1" applyAlignment="1">
      <alignment vertical="center"/>
    </xf>
    <xf numFmtId="0" fontId="4" fillId="0" borderId="0" xfId="1" applyFont="1" applyAlignment="1">
      <alignment horizontal="left" vertical="center" indent="1"/>
    </xf>
    <xf numFmtId="0" fontId="4" fillId="0" borderId="0" xfId="1" applyFont="1" applyAlignment="1">
      <alignment vertical="top"/>
    </xf>
    <xf numFmtId="1" fontId="7" fillId="0" borderId="0" xfId="1" applyNumberFormat="1" applyFont="1" applyAlignment="1">
      <alignment horizontal="center" vertical="center"/>
    </xf>
    <xf numFmtId="0" fontId="8" fillId="0" borderId="0" xfId="1" applyFont="1" applyAlignment="1">
      <alignment vertical="center"/>
    </xf>
    <xf numFmtId="167" fontId="7" fillId="0" borderId="0" xfId="1" applyNumberFormat="1" applyFont="1" applyAlignment="1">
      <alignment horizontal="center" vertical="center"/>
    </xf>
    <xf numFmtId="167" fontId="4" fillId="0" borderId="0" xfId="1" applyNumberFormat="1" applyFont="1" applyAlignment="1">
      <alignment horizontal="center" vertical="center"/>
    </xf>
    <xf numFmtId="167" fontId="4" fillId="2" borderId="0" xfId="1" applyNumberFormat="1" applyFont="1" applyFill="1" applyAlignment="1">
      <alignment horizontal="center" vertical="center"/>
    </xf>
    <xf numFmtId="0" fontId="9" fillId="0" borderId="2" xfId="1" applyFont="1" applyBorder="1" applyAlignment="1">
      <alignment horizontal="center" vertical="center"/>
    </xf>
    <xf numFmtId="0" fontId="9" fillId="2" borderId="0" xfId="1" applyFont="1" applyFill="1" applyAlignment="1">
      <alignment horizontal="center" vertical="center"/>
    </xf>
    <xf numFmtId="167" fontId="4" fillId="0" borderId="2" xfId="1" applyNumberFormat="1" applyFont="1" applyBorder="1" applyAlignment="1">
      <alignment horizontal="center" vertical="center"/>
    </xf>
    <xf numFmtId="44" fontId="6" fillId="0" borderId="0" xfId="1" applyNumberFormat="1" applyFont="1" applyAlignment="1">
      <alignment horizontal="left" vertical="center" indent="1"/>
    </xf>
    <xf numFmtId="44" fontId="0" fillId="0" borderId="0" xfId="0" applyNumberFormat="1"/>
    <xf numFmtId="0" fontId="4" fillId="0" borderId="0" xfId="1" applyFont="1" applyFill="1"/>
    <xf numFmtId="1" fontId="0" fillId="0" borderId="0" xfId="0" applyNumberFormat="1"/>
    <xf numFmtId="0" fontId="5" fillId="0" borderId="0" xfId="1" applyFont="1" applyBorder="1" applyAlignment="1">
      <alignment horizontal="left" vertical="center" indent="1"/>
    </xf>
    <xf numFmtId="0" fontId="4" fillId="0" borderId="0" xfId="1" applyFont="1" applyBorder="1"/>
    <xf numFmtId="0" fontId="5" fillId="0" borderId="0" xfId="1" applyFont="1" applyBorder="1" applyAlignment="1">
      <alignment vertical="center"/>
    </xf>
    <xf numFmtId="0" fontId="4" fillId="0" borderId="0" xfId="1" applyFont="1" applyFill="1" applyBorder="1"/>
    <xf numFmtId="0" fontId="6" fillId="0" borderId="0" xfId="1" applyFont="1" applyBorder="1" applyAlignment="1">
      <alignment horizontal="left" vertical="center" indent="1"/>
    </xf>
    <xf numFmtId="165" fontId="6" fillId="0" borderId="0" xfId="1" applyNumberFormat="1" applyFont="1" applyBorder="1" applyAlignment="1">
      <alignment horizontal="left" vertical="center" indent="1"/>
    </xf>
    <xf numFmtId="44" fontId="11" fillId="0" borderId="1" xfId="1" applyNumberFormat="1" applyFont="1" applyBorder="1" applyAlignment="1">
      <alignment horizontal="center" vertical="center"/>
    </xf>
    <xf numFmtId="167" fontId="11" fillId="0" borderId="1" xfId="1" applyNumberFormat="1" applyFont="1" applyBorder="1" applyAlignment="1">
      <alignment horizontal="center" vertical="center"/>
    </xf>
    <xf numFmtId="167" fontId="12" fillId="0" borderId="1" xfId="1" applyNumberFormat="1" applyFont="1" applyBorder="1" applyAlignment="1">
      <alignment horizontal="center" vertical="center"/>
    </xf>
    <xf numFmtId="44" fontId="11" fillId="7" borderId="1" xfId="1" applyNumberFormat="1" applyFont="1" applyFill="1" applyBorder="1" applyAlignment="1">
      <alignment horizontal="center" vertical="center"/>
    </xf>
    <xf numFmtId="44" fontId="12" fillId="7" borderId="1" xfId="1" applyNumberFormat="1" applyFont="1" applyFill="1" applyBorder="1" applyAlignment="1">
      <alignment horizontal="center" vertical="center"/>
    </xf>
    <xf numFmtId="0" fontId="4" fillId="0" borderId="0" xfId="1" applyFont="1" applyBorder="1" applyAlignment="1">
      <alignment vertical="top"/>
    </xf>
    <xf numFmtId="0" fontId="3" fillId="8" borderId="0" xfId="1" applyFont="1" applyFill="1" applyAlignment="1">
      <alignment wrapText="1"/>
    </xf>
    <xf numFmtId="0" fontId="12" fillId="3" borderId="1" xfId="1" applyFont="1" applyFill="1" applyBorder="1" applyAlignment="1">
      <alignment horizontal="center" vertical="center" wrapText="1"/>
    </xf>
    <xf numFmtId="0" fontId="12" fillId="4" borderId="1" xfId="1" applyFont="1" applyFill="1" applyBorder="1" applyAlignment="1">
      <alignment horizontal="center" vertical="center"/>
    </xf>
    <xf numFmtId="0" fontId="12" fillId="5" borderId="1" xfId="1" applyFont="1" applyFill="1" applyBorder="1" applyAlignment="1">
      <alignment horizontal="center" vertical="center"/>
    </xf>
    <xf numFmtId="0" fontId="12" fillId="6" borderId="1" xfId="1" applyFont="1" applyFill="1" applyBorder="1" applyAlignment="1">
      <alignment horizontal="center" vertical="center"/>
    </xf>
    <xf numFmtId="0" fontId="12" fillId="4" borderId="1" xfId="1" applyFont="1" applyFill="1" applyBorder="1" applyAlignment="1">
      <alignment horizontal="center" vertical="center" wrapText="1"/>
    </xf>
    <xf numFmtId="0" fontId="12" fillId="5" borderId="1" xfId="1" applyFont="1" applyFill="1" applyBorder="1" applyAlignment="1">
      <alignment horizontal="center" vertical="center" wrapText="1"/>
    </xf>
    <xf numFmtId="0" fontId="5" fillId="0" borderId="0" xfId="1" applyFont="1" applyBorder="1" applyAlignment="1">
      <alignment horizontal="center" vertical="center"/>
    </xf>
    <xf numFmtId="0" fontId="10" fillId="8" borderId="0" xfId="1" applyFont="1" applyFill="1" applyAlignment="1">
      <alignment horizontal="left" vertical="center"/>
    </xf>
    <xf numFmtId="0" fontId="13" fillId="0" borderId="0" xfId="1" applyFont="1" applyAlignment="1">
      <alignment vertical="center"/>
    </xf>
    <xf numFmtId="0" fontId="5" fillId="0" borderId="0" xfId="1" applyFont="1" applyFill="1" applyBorder="1" applyAlignment="1">
      <alignment horizontal="center" vertical="center"/>
    </xf>
    <xf numFmtId="0" fontId="6" fillId="0" borderId="0" xfId="1" applyFont="1" applyBorder="1" applyAlignment="1">
      <alignment horizontal="left" vertical="center"/>
    </xf>
  </cellXfs>
  <cellStyles count="4">
    <cellStyle name="Currency 2" xfId="3" xr:uid="{EA909856-1658-4496-AA80-4D8DBB6283E0}"/>
    <cellStyle name="Normal" xfId="0" builtinId="0"/>
    <cellStyle name="Normal 2" xfId="1" xr:uid="{582CDBA7-B69F-47EB-96F8-1040A8959845}"/>
    <cellStyle name="Percent 2" xfId="2" xr:uid="{8AC1B830-48FE-49B2-8165-3E73FA1F1ED3}"/>
  </cellStyles>
  <dxfs count="38">
    <dxf>
      <numFmt numFmtId="34" formatCode="_-&quot;£&quot;* #,##0.00_-;\-&quot;£&quot;* #,##0.00_-;_-&quot;£&quot;* &quot;-&quot;??_-;_-@_-"/>
    </dxf>
    <dxf>
      <font>
        <b/>
      </font>
    </dxf>
    <dxf>
      <alignment horizontal="center"/>
    </dxf>
    <dxf>
      <alignment vertical="center"/>
    </dxf>
    <dxf>
      <numFmt numFmtId="1" formatCode="0"/>
    </dxf>
    <dxf>
      <numFmt numFmtId="164" formatCode="&quot;£&quot;#,##0.00"/>
    </dxf>
    <dxf>
      <font>
        <b/>
      </font>
    </dxf>
    <dxf>
      <numFmt numFmtId="34" formatCode="_-&quot;£&quot;* #,##0.00_-;\-&quot;£&quot;* #,##0.00_-;_-&quot;£&quot;* &quot;-&quot;??_-;_-@_-"/>
    </dxf>
    <dxf>
      <alignment horizontal="center"/>
    </dxf>
    <dxf>
      <alignment vertical="center"/>
    </dxf>
    <dxf>
      <numFmt numFmtId="34" formatCode="_-&quot;£&quot;* #,##0.00_-;\-&quot;£&quot;* #,##0.00_-;_-&quot;£&quot;* &quot;-&quot;??_-;_-@_-"/>
    </dxf>
    <dxf>
      <font>
        <b/>
      </font>
    </dxf>
    <dxf>
      <alignment horizontal="center"/>
    </dxf>
    <dxf>
      <numFmt numFmtId="165" formatCode="0.0"/>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[London Hospital Analytics.xlsx]Analytics!PivotTable2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Analytics!$G$2</c:f>
              <c:strCache>
                <c:ptCount val="1"/>
                <c:pt idx="0">
                  <c:v>Total</c:v>
                </c:pt>
              </c:strCache>
            </c:strRef>
          </c:tx>
          <c:spPr>
            <a:solidFill>
              <a:schemeClr val="accent1"/>
            </a:solidFill>
            <a:ln>
              <a:noFill/>
            </a:ln>
            <a:effectLst/>
          </c:spPr>
          <c:invertIfNegative val="0"/>
          <c:cat>
            <c:strRef>
              <c:f>Analytics!$F$3:$F$8</c:f>
              <c:strCache>
                <c:ptCount val="5"/>
                <c:pt idx="0">
                  <c:v>Cardiology</c:v>
                </c:pt>
                <c:pt idx="1">
                  <c:v>Emergency</c:v>
                </c:pt>
                <c:pt idx="2">
                  <c:v>General Medicine</c:v>
                </c:pt>
                <c:pt idx="3">
                  <c:v>Orthopedics</c:v>
                </c:pt>
                <c:pt idx="4">
                  <c:v>Respiratory</c:v>
                </c:pt>
              </c:strCache>
            </c:strRef>
          </c:cat>
          <c:val>
            <c:numRef>
              <c:f>Analytics!$G$3:$G$8</c:f>
              <c:numCache>
                <c:formatCode>General</c:formatCode>
                <c:ptCount val="5"/>
                <c:pt idx="0">
                  <c:v>58</c:v>
                </c:pt>
                <c:pt idx="1">
                  <c:v>54</c:v>
                </c:pt>
                <c:pt idx="2">
                  <c:v>56</c:v>
                </c:pt>
                <c:pt idx="3">
                  <c:v>56</c:v>
                </c:pt>
                <c:pt idx="4">
                  <c:v>54</c:v>
                </c:pt>
              </c:numCache>
            </c:numRef>
          </c:val>
          <c:extLst>
            <c:ext xmlns:c16="http://schemas.microsoft.com/office/drawing/2014/chart" uri="{C3380CC4-5D6E-409C-BE32-E72D297353CC}">
              <c16:uniqueId val="{00000002-B49B-407D-95D7-7891630ED261}"/>
            </c:ext>
          </c:extLst>
        </c:ser>
        <c:dLbls>
          <c:showLegendKey val="0"/>
          <c:showVal val="0"/>
          <c:showCatName val="0"/>
          <c:showSerName val="0"/>
          <c:showPercent val="0"/>
          <c:showBubbleSize val="0"/>
        </c:dLbls>
        <c:gapWidth val="23"/>
        <c:overlap val="100"/>
        <c:axId val="1429423679"/>
        <c:axId val="1429741471"/>
      </c:barChart>
      <c:catAx>
        <c:axId val="142942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1429741471"/>
        <c:crosses val="autoZero"/>
        <c:auto val="1"/>
        <c:lblAlgn val="ctr"/>
        <c:lblOffset val="100"/>
        <c:noMultiLvlLbl val="0"/>
      </c:catAx>
      <c:valAx>
        <c:axId val="1429741471"/>
        <c:scaling>
          <c:orientation val="minMax"/>
        </c:scaling>
        <c:delete val="1"/>
        <c:axPos val="l"/>
        <c:numFmt formatCode="General" sourceLinked="1"/>
        <c:majorTickMark val="none"/>
        <c:minorTickMark val="none"/>
        <c:tickLblPos val="nextTo"/>
        <c:crossAx val="1429423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[London Hospital Analytics.xlsx]Analytics!PivotTable4</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Analytics!$G$12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Analytics!$F$13:$F$25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Analytics!$G$13:$G$25</c:f>
              <c:numCache>
                <c:formatCode>General</c:formatCode>
                <c:ptCount val="12"/>
                <c:pt idx="0">
                  <c:v>21</c:v>
                </c:pt>
                <c:pt idx="1">
                  <c:v>26</c:v>
                </c:pt>
                <c:pt idx="2">
                  <c:v>28</c:v>
                </c:pt>
                <c:pt idx="3">
                  <c:v>30</c:v>
                </c:pt>
                <c:pt idx="4">
                  <c:v>30</c:v>
                </c:pt>
                <c:pt idx="5">
                  <c:v>28</c:v>
                </c:pt>
                <c:pt idx="6">
                  <c:v>31</c:v>
                </c:pt>
                <c:pt idx="7">
                  <c:v>28</c:v>
                </c:pt>
                <c:pt idx="8">
                  <c:v>19</c:v>
                </c:pt>
                <c:pt idx="9">
                  <c:v>12</c:v>
                </c:pt>
                <c:pt idx="10">
                  <c:v>11</c:v>
                </c:pt>
                <c:pt idx="11">
                  <c:v>14</c:v>
                </c:pt>
              </c:numCache>
            </c:numRef>
          </c:val>
          <c:extLst>
            <c:ext xmlns:c16="http://schemas.microsoft.com/office/drawing/2014/chart" uri="{C3380CC4-5D6E-409C-BE32-E72D297353CC}">
              <c16:uniqueId val="{00000013-8989-494E-A83A-6101EAB040B9}"/>
            </c:ext>
          </c:extLst>
        </c:ser>
        <c:dLbls>
          <c:showLegendKey val="0"/>
          <c:showVal val="0"/>
          <c:showCatName val="0"/>
          <c:showSerName val="0"/>
          <c:showPercent val="0"/>
          <c:showBubbleSize val="0"/>
        </c:dLbls>
        <c:gapWidth val="150"/>
        <c:axId val="514806703"/>
        <c:axId val="514810031"/>
      </c:barChart>
      <c:catAx>
        <c:axId val="514806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514810031"/>
        <c:crosses val="autoZero"/>
        <c:auto val="1"/>
        <c:lblAlgn val="ctr"/>
        <c:lblOffset val="100"/>
        <c:noMultiLvlLbl val="0"/>
      </c:catAx>
      <c:valAx>
        <c:axId val="514810031"/>
        <c:scaling>
          <c:orientation val="minMax"/>
        </c:scaling>
        <c:delete val="1"/>
        <c:axPos val="l"/>
        <c:numFmt formatCode="General" sourceLinked="1"/>
        <c:majorTickMark val="out"/>
        <c:minorTickMark val="none"/>
        <c:tickLblPos val="nextTo"/>
        <c:crossAx val="51480670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[London Hospital Analytics.xlsx]Analytics!PivotTable1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Analytics!$C$2</c:f>
              <c:strCache>
                <c:ptCount val="1"/>
                <c:pt idx="0">
                  <c:v>Total</c:v>
                </c:pt>
              </c:strCache>
            </c:strRef>
          </c:tx>
          <c:spPr>
            <a:solidFill>
              <a:schemeClr val="accent1"/>
            </a:solidFill>
            <a:ln>
              <a:noFill/>
            </a:ln>
            <a:effectLst/>
          </c:spPr>
          <c:invertIfNegative val="0"/>
          <c:cat>
            <c:strRef>
              <c:f>Analytics!$B$3:$B$12</c:f>
              <c:strCache>
                <c:ptCount val="9"/>
                <c:pt idx="0">
                  <c:v>Camden</c:v>
                </c:pt>
                <c:pt idx="1">
                  <c:v>City of London</c:v>
                </c:pt>
                <c:pt idx="2">
                  <c:v>Hackney</c:v>
                </c:pt>
                <c:pt idx="3">
                  <c:v>Islington</c:v>
                </c:pt>
                <c:pt idx="4">
                  <c:v>Kensington &amp; Chelsea</c:v>
                </c:pt>
                <c:pt idx="5">
                  <c:v>Lambeth</c:v>
                </c:pt>
                <c:pt idx="6">
                  <c:v>Southwark</c:v>
                </c:pt>
                <c:pt idx="7">
                  <c:v>Tower Hamlets</c:v>
                </c:pt>
                <c:pt idx="8">
                  <c:v>Wandsworth</c:v>
                </c:pt>
              </c:strCache>
            </c:strRef>
          </c:cat>
          <c:val>
            <c:numRef>
              <c:f>Analytics!$C$3:$C$12</c:f>
              <c:numCache>
                <c:formatCode>0</c:formatCode>
                <c:ptCount val="9"/>
                <c:pt idx="0">
                  <c:v>35</c:v>
                </c:pt>
                <c:pt idx="1">
                  <c:v>25</c:v>
                </c:pt>
                <c:pt idx="2">
                  <c:v>35</c:v>
                </c:pt>
                <c:pt idx="3">
                  <c:v>43</c:v>
                </c:pt>
                <c:pt idx="4">
                  <c:v>34</c:v>
                </c:pt>
                <c:pt idx="5">
                  <c:v>29</c:v>
                </c:pt>
                <c:pt idx="6">
                  <c:v>23</c:v>
                </c:pt>
                <c:pt idx="7">
                  <c:v>28</c:v>
                </c:pt>
                <c:pt idx="8">
                  <c:v>26</c:v>
                </c:pt>
              </c:numCache>
            </c:numRef>
          </c:val>
          <c:extLst>
            <c:ext xmlns:c16="http://schemas.microsoft.com/office/drawing/2014/chart" uri="{C3380CC4-5D6E-409C-BE32-E72D297353CC}">
              <c16:uniqueId val="{0000000E-7B16-407D-9875-E8558BFB71C7}"/>
            </c:ext>
          </c:extLst>
        </c:ser>
        <c:dLbls>
          <c:showLegendKey val="0"/>
          <c:showVal val="0"/>
          <c:showCatName val="0"/>
          <c:showSerName val="0"/>
          <c:showPercent val="0"/>
          <c:showBubbleSize val="0"/>
        </c:dLbls>
        <c:gapWidth val="150"/>
        <c:axId val="892480111"/>
        <c:axId val="892482191"/>
      </c:barChart>
      <c:catAx>
        <c:axId val="89248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Century Gothic" panose="020B0502020202020204" pitchFamily="34" charset="0"/>
                <a:ea typeface="+mn-ea"/>
                <a:cs typeface="+mn-cs"/>
              </a:defRPr>
            </a:pPr>
            <a:endParaRPr lang="en-US"/>
          </a:p>
        </c:txPr>
        <c:crossAx val="892482191"/>
        <c:crosses val="autoZero"/>
        <c:auto val="1"/>
        <c:lblAlgn val="ctr"/>
        <c:lblOffset val="100"/>
        <c:noMultiLvlLbl val="0"/>
      </c:catAx>
      <c:valAx>
        <c:axId val="892482191"/>
        <c:scaling>
          <c:orientation val="minMax"/>
        </c:scaling>
        <c:delete val="1"/>
        <c:axPos val="l"/>
        <c:numFmt formatCode="&quot;$&quot;#,##0" sourceLinked="0"/>
        <c:majorTickMark val="none"/>
        <c:minorTickMark val="none"/>
        <c:tickLblPos val="nextTo"/>
        <c:crossAx val="89248011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190499</xdr:colOff>
      <xdr:row>7</xdr:row>
      <xdr:rowOff>114300</xdr:rowOff>
    </xdr:from>
    <xdr:to>
      <xdr:col>5</xdr:col>
      <xdr:colOff>492124</xdr:colOff>
      <xdr:row>10</xdr:row>
      <xdr:rowOff>1965325</xdr:rowOff>
    </xdr:to>
    <xdr:graphicFrame macro="">
      <xdr:nvGraphicFramePr>
        <xdr:cNvPr id="4" name="Chart 3">
          <a:extLst>
            <a:ext uri="{FF2B5EF4-FFF2-40B4-BE49-F238E27FC236}">
              <a16:creationId xmlns:a16="http://schemas.microsoft.com/office/drawing/2014/main" id="{E4AEA143-16ED-40BE-A99B-614915E2D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152400</xdr:colOff>
      <xdr:row>2</xdr:row>
      <xdr:rowOff>133349</xdr:rowOff>
    </xdr:from>
    <xdr:to>
      <xdr:col>12</xdr:col>
      <xdr:colOff>1400175</xdr:colOff>
      <xdr:row>4</xdr:row>
      <xdr:rowOff>1228724</xdr:rowOff>
    </xdr:to>
    <xdr:graphicFrame macro="">
      <xdr:nvGraphicFramePr>
        <xdr:cNvPr id="6" name="Chart 5">
          <a:extLst>
            <a:ext uri="{FF2B5EF4-FFF2-40B4-BE49-F238E27FC236}">
              <a16:creationId xmlns:a16="http://schemas.microsoft.com/office/drawing/2014/main" id="{D32F63CF-661E-46D0-8978-74F711C94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471486</xdr:colOff>
      <xdr:row>7</xdr:row>
      <xdr:rowOff>19050</xdr:rowOff>
    </xdr:from>
    <xdr:to>
      <xdr:col>13</xdr:col>
      <xdr:colOff>15874</xdr:colOff>
      <xdr:row>10</xdr:row>
      <xdr:rowOff>1924050</xdr:rowOff>
    </xdr:to>
    <xdr:graphicFrame macro="">
      <xdr:nvGraphicFramePr>
        <xdr:cNvPr id="7" name="Chart 6">
          <a:extLst>
            <a:ext uri="{FF2B5EF4-FFF2-40B4-BE49-F238E27FC236}">
              <a16:creationId xmlns:a16="http://schemas.microsoft.com/office/drawing/2014/main" id="{EB5B0292-BDC6-4ACA-B377-BB7FC28773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714376</xdr:colOff>
      <xdr:row>1</xdr:row>
      <xdr:rowOff>412749</xdr:rowOff>
    </xdr:from>
    <xdr:to>
      <xdr:col>7</xdr:col>
      <xdr:colOff>603250</xdr:colOff>
      <xdr:row>2</xdr:row>
      <xdr:rowOff>1143001</xdr:rowOff>
    </xdr:to>
    <mc:AlternateContent xmlns:mc="http://schemas.openxmlformats.org/markup-compatibility/2006" xmlns:a14="http://schemas.microsoft.com/office/drawing/2010/main">
      <mc:Choice Requires="a14">
        <xdr:graphicFrame macro="">
          <xdr:nvGraphicFramePr>
            <xdr:cNvPr id="13" name="PATIENT GENDERS">
              <a:extLst>
                <a:ext uri="{FF2B5EF4-FFF2-40B4-BE49-F238E27FC236}">
                  <a16:creationId xmlns:a16="http://schemas.microsoft.com/office/drawing/2014/main" id="{A822356C-3C44-49CD-ADD4-FC2DCFFC30B2}"/>
                </a:ext>
              </a:extLst>
            </xdr:cNvPr>
            <xdr:cNvGraphicFramePr/>
          </xdr:nvGraphicFramePr>
          <xdr:xfrm>
            <a:off x="0" y="0"/>
            <a:ext cx="0" cy="0"/>
          </xdr:xfrm>
          <a:graphic>
            <a:graphicData uri="http://schemas.microsoft.com/office/drawing/2010/slicer">
              <sle:slicer xmlns:sle="http://schemas.microsoft.com/office/drawing/2010/slicer" name="PATIENT GENDERS"/>
            </a:graphicData>
          </a:graphic>
        </xdr:graphicFrame>
      </mc:Choice>
      <mc:Fallback xmlns="">
        <xdr:sp macro="" textlink="">
          <xdr:nvSpPr>
            <xdr:cNvPr id="0" name=""/>
            <xdr:cNvSpPr>
              <a:spLocks noTextEdit="1"/>
            </xdr:cNvSpPr>
          </xdr:nvSpPr>
          <xdr:spPr>
            <a:xfrm>
              <a:off x="6810376" y="952499"/>
              <a:ext cx="2778124" cy="11747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698500</xdr:colOff>
      <xdr:row>3</xdr:row>
      <xdr:rowOff>603250</xdr:rowOff>
    </xdr:from>
    <xdr:to>
      <xdr:col>7</xdr:col>
      <xdr:colOff>587100</xdr:colOff>
      <xdr:row>5</xdr:row>
      <xdr:rowOff>111125</xdr:rowOff>
    </xdr:to>
    <mc:AlternateContent xmlns:mc="http://schemas.openxmlformats.org/markup-compatibility/2006" xmlns:a14="http://schemas.microsoft.com/office/drawing/2010/main">
      <mc:Choice Requires="a14">
        <xdr:graphicFrame macro="">
          <xdr:nvGraphicFramePr>
            <xdr:cNvPr id="15" name="AgeBand 1">
              <a:extLst>
                <a:ext uri="{FF2B5EF4-FFF2-40B4-BE49-F238E27FC236}">
                  <a16:creationId xmlns:a16="http://schemas.microsoft.com/office/drawing/2014/main" id="{0606EA48-5B73-44FF-A3DD-BF9D4BFC3AB2}"/>
                </a:ext>
              </a:extLst>
            </xdr:cNvPr>
            <xdr:cNvGraphicFramePr/>
          </xdr:nvGraphicFramePr>
          <xdr:xfrm>
            <a:off x="0" y="0"/>
            <a:ext cx="0" cy="0"/>
          </xdr:xfrm>
          <a:graphic>
            <a:graphicData uri="http://schemas.microsoft.com/office/drawing/2010/slicer">
              <sle:slicer xmlns:sle="http://schemas.microsoft.com/office/drawing/2010/slicer" name="AgeBand 1"/>
            </a:graphicData>
          </a:graphic>
        </xdr:graphicFrame>
      </mc:Choice>
      <mc:Fallback xmlns="">
        <xdr:sp macro="" textlink="">
          <xdr:nvSpPr>
            <xdr:cNvPr id="0" name=""/>
            <xdr:cNvSpPr>
              <a:spLocks noTextEdit="1"/>
            </xdr:cNvSpPr>
          </xdr:nvSpPr>
          <xdr:spPr>
            <a:xfrm>
              <a:off x="6794500" y="2857500"/>
              <a:ext cx="2777850" cy="2047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C-Business-Meeting-Agenda-Template33"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siness Meeting Agenda"/>
    </sheetNames>
    <sheetDataSet>
      <sheetData sheetId="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ner Aydin" refreshedDate="46131.220286111115" createdVersion="8" refreshedVersion="8" minRefreshableVersion="3" recordCount="278" xr:uid="{D9FFAD6F-783C-4014-BAB6-832F5B1DD707}">
  <cacheSource type="worksheet">
    <worksheetSource name="Hospital_Fact_Table"/>
  </cacheSource>
  <cacheFields count="17">
    <cacheField name="AdmissionID" numFmtId="0">
      <sharedItems count="274">
        <s v="A001"/>
        <s v="A002"/>
        <s v="A003"/>
        <s v="A004"/>
        <s v="A005"/>
        <s v="A006"/>
        <s v="A007"/>
        <s v="A008"/>
        <s v="A009"/>
        <s v="A010"/>
        <s v="A011"/>
        <s v="A012"/>
        <s v="A013"/>
        <s v="A014"/>
        <s v="A015"/>
        <s v="A016"/>
        <s v="A017"/>
        <s v="A018"/>
        <s v="A019"/>
        <s v="A020"/>
        <s v="A021"/>
        <s v="A022"/>
        <s v="A023"/>
        <s v="A024"/>
        <s v="A025"/>
        <s v="A026"/>
        <s v="A027"/>
        <s v="A028"/>
        <s v="A029"/>
        <s v="A030"/>
        <s v="A031"/>
        <s v="A032"/>
        <s v="A033"/>
        <s v="A034"/>
        <s v="A035"/>
        <s v="A037"/>
        <s v="A038"/>
        <s v="A039"/>
        <s v="A040"/>
        <s v="A042"/>
        <s v="A043"/>
        <s v="A044"/>
        <s v="A045"/>
        <s v="A046"/>
        <s v="A047"/>
        <s v="A048"/>
        <s v="A049"/>
        <s v="A051"/>
        <s v="A052"/>
        <s v="A053"/>
        <s v="A055"/>
        <s v="A056"/>
        <s v="A057"/>
        <s v="A058"/>
        <s v="A059"/>
        <s v="A060"/>
        <s v="A061"/>
        <s v="A062"/>
        <s v="A063"/>
        <s v="A064"/>
        <s v="A066"/>
        <s v="A067"/>
        <s v="A068"/>
        <s v="A070"/>
        <s v="A071"/>
        <s v="A073"/>
        <s v="A074"/>
        <s v="A075"/>
        <s v="A078"/>
        <s v="A080"/>
        <s v="A081"/>
        <s v="A083"/>
        <s v="A084"/>
        <s v="A087"/>
        <s v="A088"/>
        <s v="A089"/>
        <s v="A090"/>
        <s v="A093"/>
        <s v="A095"/>
        <s v="A096"/>
        <s v="A097"/>
        <s v="A099"/>
        <s v="A101"/>
        <s v="A102"/>
        <s v="A103"/>
        <s v="A106"/>
        <s v="A108"/>
        <s v="A860"/>
        <s v="A110"/>
        <s v="A111"/>
        <s v="A112"/>
        <s v="A113"/>
        <s v="A114"/>
        <s v="A115"/>
        <s v="A116"/>
        <s v="A117"/>
        <s v="A118"/>
        <s v="A120"/>
        <s v="A121"/>
        <s v="A124"/>
        <s v="A814"/>
        <s v="A234"/>
        <s v="A639"/>
        <s v="A441"/>
        <s v="A202"/>
        <s v="A203"/>
        <s v="A205"/>
        <s v="A206"/>
        <s v="A209"/>
        <s v="A211"/>
        <s v="A212"/>
        <s v="A214"/>
        <s v="A218"/>
        <s v="A220"/>
        <s v="A221"/>
        <s v="A227"/>
        <s v="A230"/>
        <s v="A233"/>
        <s v="A710"/>
        <s v="A236"/>
        <s v="A241"/>
        <s v="A244"/>
        <s v="A246"/>
        <s v="A247"/>
        <s v="A250"/>
        <s v="A251"/>
        <s v="A255"/>
        <s v="A257"/>
        <s v="A259"/>
        <s v="A305"/>
        <s v="A260"/>
        <s v="A330"/>
        <s v="A302"/>
        <s v="A328"/>
        <s v="A321"/>
        <s v="A303"/>
        <s v="A313"/>
        <s v="A311"/>
        <s v="A329"/>
        <s v="A309"/>
        <s v="A324"/>
        <s v="A314"/>
        <s v="A318"/>
        <s v="A306"/>
        <s v="A320"/>
        <s v="A312"/>
        <s v="A326"/>
        <s v="A310"/>
        <s v="A734"/>
        <s v="A307"/>
        <s v="A331"/>
        <s v="A322"/>
        <s v="A308"/>
        <s v="A327"/>
        <s v="A315"/>
        <s v="A325"/>
        <s v="A333"/>
        <s v="A316"/>
        <s v="A301"/>
        <s v="A319"/>
        <s v="A332"/>
        <s v="A317"/>
        <s v="A334"/>
        <s v="A123"/>
        <s v="A418"/>
        <s v="A210"/>
        <s v="A147"/>
        <s v="A451"/>
        <s v="A462"/>
        <s v="A456"/>
        <s v="A483"/>
        <s v="A454"/>
        <s v="A457"/>
        <s v="A495"/>
        <s v="A460"/>
        <s v="A452"/>
        <s v="A742"/>
        <s v="A453"/>
        <s v="A466"/>
        <s v="A476"/>
        <s v="A482"/>
        <s v="A455"/>
        <s v="A484"/>
        <s v="A459"/>
        <s v="A472"/>
        <s v="A465"/>
        <s v="A468"/>
        <s v="A488"/>
        <s v="A566"/>
        <s v="A480"/>
        <s v="A469"/>
        <s v="A490"/>
        <s v="A489"/>
        <s v="A497"/>
        <s v="A485"/>
        <s v="A458"/>
        <s v="A470"/>
        <s v="A491"/>
        <s v="A463"/>
        <s v="A498"/>
        <s v="A471"/>
        <s v="A477"/>
        <s v="A499"/>
        <s v="A993"/>
        <s v="A390"/>
        <s v="A381"/>
        <s v="A776"/>
        <s v="A653"/>
        <s v="A654"/>
        <s v="A655"/>
        <s v="A662"/>
        <s v="A656"/>
        <s v="A658"/>
        <s v="A664"/>
        <s v="A509"/>
        <s v="A660"/>
        <s v="A671"/>
        <s v="A661"/>
        <s v="A668"/>
        <s v="A666"/>
        <s v="A698"/>
        <s v="A672"/>
        <s v="A674"/>
        <s v="A684"/>
        <s v="A681"/>
        <s v="A683"/>
        <s v="A687"/>
        <s v="A677"/>
        <s v="A689"/>
        <s v="A695"/>
        <s v="A696"/>
        <s v="A805"/>
        <s v="A700"/>
        <s v="A699"/>
        <s v="A686"/>
        <s v="A579"/>
        <s v="A155"/>
        <s v="A751"/>
        <s v="A753"/>
        <s v="A762"/>
        <s v="A756"/>
        <s v="A771"/>
        <s v="A758"/>
        <s v="A760"/>
        <s v="A764"/>
        <s v="A767"/>
        <s v="A761"/>
        <s v="A759"/>
        <s v="A768"/>
        <s v="A852"/>
        <s v="A783"/>
        <s v="A774"/>
        <s v="A785"/>
        <s v="A786"/>
        <s v="A901"/>
        <s v="A772"/>
        <s v="A787"/>
        <s v="A798"/>
        <s v="A794"/>
        <s v="A796"/>
        <s v="A750"/>
        <s v="A799"/>
        <s v="A780"/>
        <s v="A789"/>
        <s v="A657"/>
        <s v="A432"/>
        <s v="A690"/>
        <s v="A346"/>
        <s v="A185"/>
        <s v="A978"/>
        <s v="A963"/>
        <s v="A588"/>
        <s v="A219"/>
        <s v="A268"/>
      </sharedItems>
    </cacheField>
    <cacheField name="PatientID" numFmtId="0">
      <sharedItems count="269">
        <s v="P001"/>
        <s v="P002"/>
        <s v="P003"/>
        <s v="P004"/>
        <s v="P005"/>
        <s v="P006"/>
        <s v="P007"/>
        <s v="P008"/>
        <s v="P009"/>
        <s v="P010"/>
        <s v="P011"/>
        <s v="P012"/>
        <s v="P013"/>
        <s v="P014"/>
        <s v="P015"/>
        <s v="P016"/>
        <s v="P017"/>
        <s v="P018"/>
        <s v="P019"/>
        <s v="P020"/>
        <s v="P021"/>
        <s v="P022"/>
        <s v="P023"/>
        <s v="P024"/>
        <s v="P025"/>
        <s v="P026"/>
        <s v="P027"/>
        <s v="P028"/>
        <s v="P029"/>
        <s v="P030"/>
        <s v="P031"/>
        <s v="P032"/>
        <s v="P033"/>
        <s v="P034"/>
        <s v="P035"/>
        <s v="P037"/>
        <s v="P038"/>
        <s v="P039"/>
        <s v="P040"/>
        <s v="P042"/>
        <s v="P043"/>
        <s v="P044"/>
        <s v="P045"/>
        <s v="P046"/>
        <s v="P047"/>
        <s v="P048"/>
        <s v="P049"/>
        <s v="P051"/>
        <s v="P052"/>
        <s v="P053"/>
        <s v="P055"/>
        <s v="P056"/>
        <s v="P057"/>
        <s v="P058"/>
        <s v="P059"/>
        <s v="P060"/>
        <s v="P061"/>
        <s v="P062"/>
        <s v="P063"/>
        <s v="P064"/>
        <s v="P066"/>
        <s v="P067"/>
        <s v="P068"/>
        <s v="P070"/>
        <s v="P071"/>
        <s v="P073"/>
        <s v="P074"/>
        <s v="P075"/>
        <s v="P078"/>
        <s v="P080"/>
        <s v="P081"/>
        <s v="P083"/>
        <s v="P084"/>
        <s v="P087"/>
        <s v="P088"/>
        <s v="P089"/>
        <s v="P090"/>
        <s v="P093"/>
        <s v="P095"/>
        <s v="P096"/>
        <s v="P097"/>
        <s v="P099"/>
        <s v="P101"/>
        <s v="P102"/>
        <s v="P103"/>
        <s v="P106"/>
        <s v="P108"/>
        <s v="P109"/>
        <s v="P110"/>
        <s v="P111"/>
        <s v="P112"/>
        <s v="P113"/>
        <s v="P114"/>
        <s v="P115"/>
        <s v="P116"/>
        <s v="P117"/>
        <s v="P118"/>
        <s v="P120"/>
        <s v="P121"/>
        <s v="P124"/>
        <s v="P142"/>
        <s v="P144"/>
        <s v="P156"/>
        <s v="P190"/>
        <s v="P202"/>
        <s v="P203"/>
        <s v="P205"/>
        <s v="P206"/>
        <s v="P209"/>
        <s v="P211"/>
        <s v="P212"/>
        <s v="P214"/>
        <s v="P218"/>
        <s v="P220"/>
        <s v="P221"/>
        <s v="P227"/>
        <s v="P230"/>
        <s v="P233"/>
        <s v="P236"/>
        <s v="P241"/>
        <s v="P244"/>
        <s v="P246"/>
        <s v="P247"/>
        <s v="P250"/>
        <s v="P251"/>
        <s v="P255"/>
        <s v="P257"/>
        <s v="P259"/>
        <s v="P260"/>
        <s v="P261"/>
        <s v="P262"/>
        <s v="P263"/>
        <s v="P264"/>
        <s v="P265"/>
        <s v="P266"/>
        <s v="P267"/>
        <s v="P269"/>
        <s v="P272"/>
        <s v="P273"/>
        <s v="P274"/>
        <s v="P275"/>
        <s v="P276"/>
        <s v="P277"/>
        <s v="P278"/>
        <s v="P279"/>
        <s v="P280"/>
        <s v="P281"/>
        <s v="P282"/>
        <s v="P283"/>
        <s v="P284"/>
        <s v="P286"/>
        <s v="P287"/>
        <s v="P288"/>
        <s v="P289"/>
        <s v="P290"/>
        <s v="P291"/>
        <s v="P292"/>
        <s v="P294"/>
        <s v="P295"/>
        <s v="P326"/>
        <s v="P337"/>
        <s v="P364"/>
        <s v="P399"/>
        <s v="P401"/>
        <s v="P402"/>
        <s v="P404"/>
        <s v="P405"/>
        <s v="P406"/>
        <s v="P407"/>
        <s v="P409"/>
        <s v="P410"/>
        <s v="P411"/>
        <s v="P412"/>
        <s v="P413"/>
        <s v="P415"/>
        <s v="P417"/>
        <s v="P418"/>
        <s v="P419"/>
        <s v="P420"/>
        <s v="P421"/>
        <s v="P423"/>
        <s v="P426"/>
        <s v="P428"/>
        <s v="P429"/>
        <s v="P430"/>
        <s v="P431"/>
        <s v="P433"/>
        <s v="P434"/>
        <s v="P436"/>
        <s v="P437"/>
        <s v="P439"/>
        <s v="P441"/>
        <s v="P442"/>
        <s v="P444"/>
        <s v="P446"/>
        <s v="P447"/>
        <s v="P448"/>
        <s v="P449"/>
        <s v="P450"/>
        <s v="P471"/>
        <s v="P508"/>
        <s v="P516"/>
        <s v="P577"/>
        <s v="P602"/>
        <s v="P603"/>
        <s v="P605"/>
        <s v="P606"/>
        <s v="P611"/>
        <s v="P612"/>
        <s v="P614"/>
        <s v="P615"/>
        <s v="P618"/>
        <s v="P619"/>
        <s v="P620"/>
        <s v="P621"/>
        <s v="P627"/>
        <s v="P630"/>
        <s v="P632"/>
        <s v="P633"/>
        <s v="P634"/>
        <s v="P636"/>
        <s v="P643"/>
        <s v="P646"/>
        <s v="P647"/>
        <s v="P649"/>
        <s v="P650"/>
        <s v="P651"/>
        <s v="P654"/>
        <s v="P655"/>
        <s v="P657"/>
        <s v="P658"/>
        <s v="P682"/>
        <s v="P690"/>
        <s v="P701"/>
        <s v="P703"/>
        <s v="P704"/>
        <s v="P706"/>
        <s v="P709"/>
        <s v="P712"/>
        <s v="P715"/>
        <s v="P718"/>
        <s v="P719"/>
        <s v="P720"/>
        <s v="P721"/>
        <s v="P727"/>
        <s v="P728"/>
        <s v="P733"/>
        <s v="P734"/>
        <s v="P736"/>
        <s v="P740"/>
        <s v="P742"/>
        <s v="P746"/>
        <s v="P748"/>
        <s v="P750"/>
        <s v="P751"/>
        <s v="P755"/>
        <s v="P757"/>
        <s v="P758"/>
        <s v="P759"/>
        <s v="P771"/>
        <s v="P803"/>
        <s v="P843"/>
        <s v="P852"/>
        <s v="P883"/>
        <s v="P889"/>
        <s v="P905"/>
        <s v="P918"/>
        <s v="P975"/>
        <s v="P997"/>
      </sharedItems>
    </cacheField>
    <cacheField name="DoctorID" numFmtId="0">
      <sharedItems/>
    </cacheField>
    <cacheField name="AdmissionDate" numFmtId="14">
      <sharedItems containsSemiMixedTypes="0" containsNonDate="0" containsDate="1" containsString="0" minDate="2025-01-06T00:00:00" maxDate="2025-12-29T00:00:00"/>
    </cacheField>
    <cacheField name="DischargeDate" numFmtId="14">
      <sharedItems containsSemiMixedTypes="0" containsNonDate="0" containsDate="1" containsString="0" minDate="2025-01-10T00:00:00" maxDate="2026-01-01T00:00:00"/>
    </cacheField>
    <cacheField name="Diagnosis" numFmtId="0">
      <sharedItems/>
    </cacheField>
    <cacheField name="Patients.PatientName" numFmtId="0">
      <sharedItems/>
    </cacheField>
    <cacheField name="Patients.Gender" numFmtId="0">
      <sharedItems count="2">
        <s v="M"/>
        <s v="F"/>
      </sharedItems>
    </cacheField>
    <cacheField name="Patients.Age" numFmtId="0">
      <sharedItems containsSemiMixedTypes="0" containsString="0" containsNumber="1" containsInteger="1" minValue="9" maxValue="65"/>
    </cacheField>
    <cacheField name="Patients.Borough" numFmtId="0">
      <sharedItems count="9">
        <s v="Camden"/>
        <s v="Lambeth"/>
        <s v="Hackney"/>
        <s v="Islington"/>
        <s v="Southwark"/>
        <s v="Tower Hamlets"/>
        <s v="Kensington &amp; Chelsea"/>
        <s v="Wandsworth"/>
        <s v="City of London"/>
      </sharedItems>
    </cacheField>
    <cacheField name="Doctors.DoctorName" numFmtId="0">
      <sharedItems count="5">
        <s v="Dr Sarah Mitchell"/>
        <s v="Dr James Foster"/>
        <s v="Dr Priya Sharma"/>
        <s v="Dr Mark Evans"/>
        <s v="Dr Emily Watson"/>
      </sharedItems>
    </cacheField>
    <cacheField name="Doctors.Department" numFmtId="0">
      <sharedItems count="5">
        <s v="Respiratory"/>
        <s v="General Medicine"/>
        <s v="Cardiology"/>
        <s v="Orthopedics"/>
        <s v="Emergency"/>
      </sharedItems>
    </cacheField>
    <cacheField name="Treatments.TreatmentName" numFmtId="0">
      <sharedItems containsBlank="1"/>
    </cacheField>
    <cacheField name="Treatments.TreatmentCost" numFmtId="0">
      <sharedItems containsString="0" containsBlank="1" containsNumber="1" containsInteger="1" minValue="45" maxValue="1300"/>
    </cacheField>
    <cacheField name="LengthOfStay" numFmtId="0">
      <sharedItems containsSemiMixedTypes="0" containsString="0" containsNumber="1" containsInteger="1" minValue="2" maxValue="5"/>
    </cacheField>
    <cacheField name="AgeBand" numFmtId="0">
      <sharedItems count="4">
        <s v="19-35"/>
        <s v="51-65"/>
        <s v="36-50"/>
        <s v="0-18"/>
      </sharedItems>
    </cacheField>
    <cacheField name="AdmissionMonth" numFmtId="0">
      <sharedItems count="12">
        <s v="January"/>
        <s v="February"/>
        <s v="March"/>
        <s v="April"/>
        <s v="May"/>
        <s v="June"/>
        <s v="July"/>
        <s v="August"/>
        <s v="September"/>
        <s v="October"/>
        <s v="November"/>
        <s v="December"/>
      </sharedItems>
    </cacheField>
  </cacheFields>
  <extLst>
    <ext xmlns:x14="http://schemas.microsoft.com/office/spreadsheetml/2009/9/main" uri="{725AE2AE-9491-48be-B2B4-4EB974FC3084}">
      <x14:pivotCacheDefinition pivotCacheId="18276178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8">
  <r>
    <x v="0"/>
    <x v="0"/>
    <s v="D01"/>
    <d v="2025-01-14T00:00:00"/>
    <d v="2025-01-18T00:00:00"/>
    <s v="Asthma"/>
    <s v="Oliver Grant"/>
    <x v="0"/>
    <n v="34"/>
    <x v="0"/>
    <x v="0"/>
    <x v="0"/>
    <s v="Inhaler Therapy"/>
    <n v="120"/>
    <n v="4"/>
    <x v="0"/>
    <x v="0"/>
  </r>
  <r>
    <x v="1"/>
    <x v="1"/>
    <s v="D02"/>
    <d v="2025-02-03T00:00:00"/>
    <d v="2025-02-06T00:00:00"/>
    <s v="Flu"/>
    <s v="Aisha Khan"/>
    <x v="1"/>
    <n v="28"/>
    <x v="0"/>
    <x v="1"/>
    <x v="1"/>
    <s v="Antiviral Medication"/>
    <n v="85"/>
    <n v="3"/>
    <x v="0"/>
    <x v="1"/>
  </r>
  <r>
    <x v="2"/>
    <x v="2"/>
    <s v="D03"/>
    <d v="2025-02-20T00:00:00"/>
    <d v="2025-02-25T00:00:00"/>
    <s v="Hypertension"/>
    <s v="George Miller"/>
    <x v="0"/>
    <n v="52"/>
    <x v="0"/>
    <x v="2"/>
    <x v="2"/>
    <s v="Blood Pressure Control"/>
    <n v="200"/>
    <n v="5"/>
    <x v="1"/>
    <x v="1"/>
  </r>
  <r>
    <x v="3"/>
    <x v="3"/>
    <s v="D04"/>
    <d v="2025-03-01T00:00:00"/>
    <d v="2025-03-04T00:00:00"/>
    <s v="Migraine"/>
    <s v="Sophia Reed"/>
    <x v="1"/>
    <n v="19"/>
    <x v="0"/>
    <x v="3"/>
    <x v="3"/>
    <s v="Pain Relief Therapy"/>
    <n v="60"/>
    <n v="3"/>
    <x v="0"/>
    <x v="2"/>
  </r>
  <r>
    <x v="4"/>
    <x v="4"/>
    <s v="D05"/>
    <d v="2025-03-15T00:00:00"/>
    <d v="2025-03-20T00:00:00"/>
    <s v="Fracture"/>
    <s v="Daniel Brown"/>
    <x v="0"/>
    <n v="41"/>
    <x v="0"/>
    <x v="4"/>
    <x v="4"/>
    <s v="Orthopedic Surgery"/>
    <n v="1300"/>
    <n v="5"/>
    <x v="2"/>
    <x v="2"/>
  </r>
  <r>
    <x v="5"/>
    <x v="5"/>
    <s v="D01"/>
    <d v="2025-04-02T00:00:00"/>
    <d v="2025-04-06T00:00:00"/>
    <s v="Diabetes Check"/>
    <s v="Mia Patel"/>
    <x v="1"/>
    <n v="33"/>
    <x v="0"/>
    <x v="0"/>
    <x v="0"/>
    <s v="Insulin Adjustment"/>
    <n v="150"/>
    <n v="4"/>
    <x v="0"/>
    <x v="3"/>
  </r>
  <r>
    <x v="6"/>
    <x v="6"/>
    <s v="D02"/>
    <d v="2025-04-18T00:00:00"/>
    <d v="2025-04-22T00:00:00"/>
    <s v="Chest Infection"/>
    <s v="Thomas Clark"/>
    <x v="0"/>
    <n v="60"/>
    <x v="0"/>
    <x v="1"/>
    <x v="1"/>
    <s v="Antibiotics Course"/>
    <n v="110"/>
    <n v="4"/>
    <x v="1"/>
    <x v="3"/>
  </r>
  <r>
    <x v="7"/>
    <x v="7"/>
    <s v="D03"/>
    <d v="2025-05-01T00:00:00"/>
    <d v="2025-05-04T00:00:00"/>
    <s v="Appendicitis"/>
    <s v="Emily Scott"/>
    <x v="1"/>
    <n v="25"/>
    <x v="0"/>
    <x v="2"/>
    <x v="2"/>
    <s v="Appendectomy Surgery"/>
    <n v="1250"/>
    <n v="3"/>
    <x v="0"/>
    <x v="4"/>
  </r>
  <r>
    <x v="8"/>
    <x v="8"/>
    <s v="D04"/>
    <d v="2025-05-10T00:00:00"/>
    <d v="2025-05-12T00:00:00"/>
    <s v="Allergy"/>
    <s v="Jacob Lewis"/>
    <x v="0"/>
    <n v="12"/>
    <x v="0"/>
    <x v="3"/>
    <x v="3"/>
    <s v="Antihistamine Treatment"/>
    <n v="45"/>
    <n v="2"/>
    <x v="3"/>
    <x v="4"/>
  </r>
  <r>
    <x v="9"/>
    <x v="9"/>
    <s v="D05"/>
    <d v="2025-05-20T00:00:00"/>
    <d v="2025-05-25T00:00:00"/>
    <s v="Gastroenteritis"/>
    <s v="Chloe Adams"/>
    <x v="1"/>
    <n v="44"/>
    <x v="0"/>
    <x v="4"/>
    <x v="4"/>
    <s v="IV Fluids"/>
    <n v="95"/>
    <n v="5"/>
    <x v="2"/>
    <x v="4"/>
  </r>
  <r>
    <x v="10"/>
    <x v="10"/>
    <s v="D01"/>
    <d v="2025-06-01T00:00:00"/>
    <d v="2025-06-05T00:00:00"/>
    <s v="Back Pain"/>
    <s v="Noah White"/>
    <x v="0"/>
    <n v="37"/>
    <x v="0"/>
    <x v="0"/>
    <x v="0"/>
    <s v="Physiotherapy"/>
    <n v="75"/>
    <n v="4"/>
    <x v="2"/>
    <x v="5"/>
  </r>
  <r>
    <x v="11"/>
    <x v="11"/>
    <s v="D02"/>
    <d v="2025-06-10T00:00:00"/>
    <d v="2025-06-13T00:00:00"/>
    <s v="Flu"/>
    <s v="Lily Johnson"/>
    <x v="1"/>
    <n v="29"/>
    <x v="0"/>
    <x v="1"/>
    <x v="1"/>
    <s v="Flu Medication"/>
    <n v="80"/>
    <n v="3"/>
    <x v="0"/>
    <x v="5"/>
  </r>
  <r>
    <x v="12"/>
    <x v="12"/>
    <s v="D03"/>
    <d v="2025-06-20T00:00:00"/>
    <d v="2025-06-25T00:00:00"/>
    <s v="Pneumonia"/>
    <s v="Harry Walker"/>
    <x v="0"/>
    <n v="50"/>
    <x v="0"/>
    <x v="2"/>
    <x v="2"/>
    <s v="Pneumonia Treatment"/>
    <n v="340"/>
    <n v="5"/>
    <x v="2"/>
    <x v="5"/>
  </r>
  <r>
    <x v="13"/>
    <x v="13"/>
    <s v="D04"/>
    <d v="2025-07-01T00:00:00"/>
    <d v="2025-07-03T00:00:00"/>
    <s v="Sprain"/>
    <s v="Amelia Hall"/>
    <x v="1"/>
    <n v="16"/>
    <x v="0"/>
    <x v="3"/>
    <x v="3"/>
    <s v="Joint Support Therapy"/>
    <n v="65"/>
    <n v="2"/>
    <x v="3"/>
    <x v="6"/>
  </r>
  <r>
    <x v="14"/>
    <x v="14"/>
    <s v="D05"/>
    <d v="2025-07-10T00:00:00"/>
    <d v="2025-07-15T00:00:00"/>
    <s v="Hypertension"/>
    <s v="Oscar Young"/>
    <x v="0"/>
    <n v="61"/>
    <x v="0"/>
    <x v="4"/>
    <x v="4"/>
    <s v="Cardiac Monitoring"/>
    <n v="220"/>
    <n v="5"/>
    <x v="1"/>
    <x v="6"/>
  </r>
  <r>
    <x v="15"/>
    <x v="15"/>
    <s v="D01"/>
    <d v="2025-07-20T00:00:00"/>
    <d v="2025-07-24T00:00:00"/>
    <s v="Asthma"/>
    <s v="Grace King"/>
    <x v="1"/>
    <n v="38"/>
    <x v="0"/>
    <x v="0"/>
    <x v="0"/>
    <s v="Respiratory Therapy"/>
    <n v="130"/>
    <n v="4"/>
    <x v="2"/>
    <x v="6"/>
  </r>
  <r>
    <x v="16"/>
    <x v="16"/>
    <s v="D02"/>
    <d v="2025-08-01T00:00:00"/>
    <d v="2025-08-04T00:00:00"/>
    <s v="Fracture"/>
    <s v="James Wright"/>
    <x v="0"/>
    <n v="27"/>
    <x v="0"/>
    <x v="1"/>
    <x v="1"/>
    <s v="Fracture Casting"/>
    <n v="320"/>
    <n v="3"/>
    <x v="0"/>
    <x v="7"/>
  </r>
  <r>
    <x v="17"/>
    <x v="17"/>
    <s v="D03"/>
    <d v="2025-08-10T00:00:00"/>
    <d v="2025-08-14T00:00:00"/>
    <s v="Migraine"/>
    <s v="Isabella Green"/>
    <x v="1"/>
    <n v="45"/>
    <x v="0"/>
    <x v="2"/>
    <x v="2"/>
    <s v="Migraine Treatment"/>
    <n v="90"/>
    <n v="4"/>
    <x v="2"/>
    <x v="7"/>
  </r>
  <r>
    <x v="18"/>
    <x v="18"/>
    <s v="D04"/>
    <d v="2025-08-20T00:00:00"/>
    <d v="2025-08-23T00:00:00"/>
    <s v="Flu"/>
    <s v="William Baker"/>
    <x v="0"/>
    <n v="31"/>
    <x v="0"/>
    <x v="3"/>
    <x v="3"/>
    <s v="Flu Recovery Plan"/>
    <n v="70"/>
    <n v="3"/>
    <x v="0"/>
    <x v="7"/>
  </r>
  <r>
    <x v="19"/>
    <x v="19"/>
    <s v="D05"/>
    <d v="2025-09-01T00:00:00"/>
    <d v="2025-09-04T00:00:00"/>
    <s v="Appendicitis"/>
    <s v="Sophia Turner"/>
    <x v="1"/>
    <n v="22"/>
    <x v="0"/>
    <x v="4"/>
    <x v="4"/>
    <s v="Surgical Appendectomy"/>
    <n v="1250"/>
    <n v="3"/>
    <x v="0"/>
    <x v="8"/>
  </r>
  <r>
    <x v="20"/>
    <x v="20"/>
    <s v="D01"/>
    <d v="2025-09-10T00:00:00"/>
    <d v="2025-09-14T00:00:00"/>
    <s v="Diabetes Check"/>
    <s v="Alexander Hill"/>
    <x v="0"/>
    <n v="55"/>
    <x v="0"/>
    <x v="0"/>
    <x v="0"/>
    <s v="Diabetes Monitoring"/>
    <n v="160"/>
    <n v="4"/>
    <x v="1"/>
    <x v="8"/>
  </r>
  <r>
    <x v="21"/>
    <x v="21"/>
    <s v="D02"/>
    <d v="2025-09-20T00:00:00"/>
    <d v="2025-09-24T00:00:00"/>
    <s v="Chest Infection"/>
    <s v="Ella Carter"/>
    <x v="1"/>
    <n v="40"/>
    <x v="0"/>
    <x v="1"/>
    <x v="1"/>
    <s v="Chest Antibiotics"/>
    <n v="210"/>
    <n v="4"/>
    <x v="2"/>
    <x v="8"/>
  </r>
  <r>
    <x v="22"/>
    <x v="22"/>
    <s v="D03"/>
    <d v="2025-10-01T00:00:00"/>
    <d v="2025-10-05T00:00:00"/>
    <s v="Gastroenteritis"/>
    <s v="Michael Evans"/>
    <x v="0"/>
    <n v="48"/>
    <x v="0"/>
    <x v="2"/>
    <x v="2"/>
    <s v="Gastro Treatment"/>
    <n v="110"/>
    <n v="4"/>
    <x v="2"/>
    <x v="9"/>
  </r>
  <r>
    <x v="23"/>
    <x v="23"/>
    <s v="D04"/>
    <d v="2025-10-10T00:00:00"/>
    <d v="2025-10-12T00:00:00"/>
    <s v="Allergy"/>
    <s v="Harper Collins"/>
    <x v="1"/>
    <n v="18"/>
    <x v="0"/>
    <x v="3"/>
    <x v="3"/>
    <s v="Allergy Injection"/>
    <n v="55"/>
    <n v="2"/>
    <x v="3"/>
    <x v="9"/>
  </r>
  <r>
    <x v="24"/>
    <x v="24"/>
    <s v="D05"/>
    <d v="2025-10-15T00:00:00"/>
    <d v="2025-10-18T00:00:00"/>
    <s v="Flu"/>
    <s v="Leo Murphy"/>
    <x v="0"/>
    <n v="9"/>
    <x v="0"/>
    <x v="4"/>
    <x v="4"/>
    <s v="Flu Care"/>
    <n v="80"/>
    <n v="3"/>
    <x v="3"/>
    <x v="9"/>
  </r>
  <r>
    <x v="25"/>
    <x v="25"/>
    <s v="D01"/>
    <d v="2025-10-25T00:00:00"/>
    <d v="2025-10-29T00:00:00"/>
    <s v="Pneumonia"/>
    <s v="Charlotte Ward"/>
    <x v="1"/>
    <n v="36"/>
    <x v="0"/>
    <x v="0"/>
    <x v="0"/>
    <s v="Pneumonia Antibiotics"/>
    <n v="330"/>
    <n v="4"/>
    <x v="2"/>
    <x v="9"/>
  </r>
  <r>
    <x v="26"/>
    <x v="26"/>
    <s v="D02"/>
    <d v="2025-11-01T00:00:00"/>
    <d v="2025-11-05T00:00:00"/>
    <s v="Back Pain"/>
    <s v="Henry Cooper"/>
    <x v="0"/>
    <n v="43"/>
    <x v="0"/>
    <x v="1"/>
    <x v="1"/>
    <s v="Back Pain Therapy"/>
    <n v="100"/>
    <n v="4"/>
    <x v="2"/>
    <x v="10"/>
  </r>
  <r>
    <x v="27"/>
    <x v="27"/>
    <s v="D03"/>
    <d v="2025-11-10T00:00:00"/>
    <d v="2025-11-14T00:00:00"/>
    <s v="Hypertension"/>
    <s v="Lucy Richardson"/>
    <x v="1"/>
    <n v="53"/>
    <x v="0"/>
    <x v="2"/>
    <x v="2"/>
    <s v="Hypertension Medication"/>
    <n v="180"/>
    <n v="4"/>
    <x v="1"/>
    <x v="10"/>
  </r>
  <r>
    <x v="28"/>
    <x v="28"/>
    <s v="D04"/>
    <d v="2025-11-20T00:00:00"/>
    <d v="2025-11-23T00:00:00"/>
    <s v="Fracture"/>
    <s v="Max Bailey"/>
    <x v="0"/>
    <n v="21"/>
    <x v="0"/>
    <x v="3"/>
    <x v="3"/>
    <s v="Fracture Rehab"/>
    <n v="310"/>
    <n v="3"/>
    <x v="0"/>
    <x v="10"/>
  </r>
  <r>
    <x v="29"/>
    <x v="29"/>
    <s v="D05"/>
    <d v="2025-11-25T00:00:00"/>
    <d v="2025-11-29T00:00:00"/>
    <s v="Asthma"/>
    <s v="Victoria Cox"/>
    <x v="1"/>
    <n v="64"/>
    <x v="0"/>
    <x v="4"/>
    <x v="4"/>
    <s v="Asthma Control"/>
    <n v="115"/>
    <n v="4"/>
    <x v="1"/>
    <x v="10"/>
  </r>
  <r>
    <x v="30"/>
    <x v="30"/>
    <s v="D01"/>
    <d v="2025-12-01T00:00:00"/>
    <d v="2025-12-04T00:00:00"/>
    <s v="Migraine"/>
    <s v="Samuel Howard"/>
    <x v="0"/>
    <n v="39"/>
    <x v="0"/>
    <x v="0"/>
    <x v="0"/>
    <s v="Pain Relief"/>
    <n v="60"/>
    <n v="3"/>
    <x v="2"/>
    <x v="11"/>
  </r>
  <r>
    <x v="31"/>
    <x v="31"/>
    <s v="D02"/>
    <d v="2025-12-05T00:00:00"/>
    <d v="2025-12-08T00:00:00"/>
    <s v="Flu"/>
    <s v="Zoe Brooks"/>
    <x v="1"/>
    <n v="14"/>
    <x v="0"/>
    <x v="1"/>
    <x v="1"/>
    <s v="Antiviral Course"/>
    <n v="85"/>
    <n v="3"/>
    <x v="3"/>
    <x v="11"/>
  </r>
  <r>
    <x v="32"/>
    <x v="32"/>
    <s v="D03"/>
    <d v="2025-12-10T00:00:00"/>
    <d v="2025-12-14T00:00:00"/>
    <s v="Chest Infection"/>
    <s v="Joseph Kelly"/>
    <x v="0"/>
    <n v="46"/>
    <x v="0"/>
    <x v="2"/>
    <x v="2"/>
    <s v="Chest Infection Care"/>
    <n v="140"/>
    <n v="4"/>
    <x v="2"/>
    <x v="11"/>
  </r>
  <r>
    <x v="33"/>
    <x v="33"/>
    <s v="D04"/>
    <d v="2025-12-15T00:00:00"/>
    <d v="2025-12-18T00:00:00"/>
    <s v="Sprain"/>
    <s v="Aria Morgan"/>
    <x v="1"/>
    <n v="30"/>
    <x v="0"/>
    <x v="3"/>
    <x v="3"/>
    <s v="Sprain Recovery"/>
    <n v="70"/>
    <n v="3"/>
    <x v="0"/>
    <x v="11"/>
  </r>
  <r>
    <x v="34"/>
    <x v="34"/>
    <s v="D05"/>
    <d v="2025-12-20T00:00:00"/>
    <d v="2025-12-24T00:00:00"/>
    <s v="Hypertension"/>
    <s v="David Bell"/>
    <x v="0"/>
    <n v="58"/>
    <x v="0"/>
    <x v="4"/>
    <x v="4"/>
    <s v="Blood Pressure Treatment"/>
    <n v="190"/>
    <n v="4"/>
    <x v="1"/>
    <x v="11"/>
  </r>
  <r>
    <x v="35"/>
    <x v="35"/>
    <s v="D02"/>
    <d v="2025-05-05T00:00:00"/>
    <d v="2025-05-09T00:00:00"/>
    <s v="Gastroenteritis"/>
    <s v="Harry Walker"/>
    <x v="0"/>
    <n v="50"/>
    <x v="1"/>
    <x v="1"/>
    <x v="1"/>
    <s v="Gastro Treatment"/>
    <n v="110"/>
    <n v="4"/>
    <x v="2"/>
    <x v="4"/>
  </r>
  <r>
    <x v="36"/>
    <x v="36"/>
    <s v="D01"/>
    <d v="2025-01-18T00:00:00"/>
    <d v="2025-01-21T00:00:00"/>
    <s v="Flu"/>
    <s v="Sophia Khan"/>
    <x v="1"/>
    <n v="28"/>
    <x v="1"/>
    <x v="0"/>
    <x v="0"/>
    <s v="Antiviral Medication"/>
    <n v="85"/>
    <n v="3"/>
    <x v="0"/>
    <x v="0"/>
  </r>
  <r>
    <x v="37"/>
    <x v="37"/>
    <s v="D01"/>
    <d v="2025-03-10T00:00:00"/>
    <d v="2025-03-14T00:00:00"/>
    <s v="Diabetes Check"/>
    <s v="Thomas Clark"/>
    <x v="0"/>
    <n v="60"/>
    <x v="1"/>
    <x v="0"/>
    <x v="0"/>
    <s v="Diabetes Monitoring"/>
    <n v="160"/>
    <n v="4"/>
    <x v="1"/>
    <x v="2"/>
  </r>
  <r>
    <x v="38"/>
    <x v="38"/>
    <s v="D03"/>
    <d v="2025-07-12T00:00:00"/>
    <d v="2025-07-16T00:00:00"/>
    <s v="Hypertension"/>
    <s v="Alexander Hill"/>
    <x v="0"/>
    <n v="55"/>
    <x v="1"/>
    <x v="2"/>
    <x v="2"/>
    <s v="Blood Pressure Therapy"/>
    <n v="190"/>
    <n v="4"/>
    <x v="1"/>
    <x v="6"/>
  </r>
  <r>
    <x v="39"/>
    <x v="39"/>
    <s v="D03"/>
    <d v="2025-06-02T00:00:00"/>
    <d v="2025-06-06T00:00:00"/>
    <s v="Pneumonia"/>
    <s v="Grace King"/>
    <x v="1"/>
    <n v="38"/>
    <x v="1"/>
    <x v="2"/>
    <x v="2"/>
    <s v="Pneumonia Care"/>
    <n v="330"/>
    <n v="4"/>
    <x v="2"/>
    <x v="5"/>
  </r>
  <r>
    <x v="40"/>
    <x v="40"/>
    <s v="D01"/>
    <d v="2025-08-28T00:00:00"/>
    <d v="2025-09-01T00:00:00"/>
    <s v="Asthma"/>
    <s v="Henry Cooper"/>
    <x v="0"/>
    <n v="43"/>
    <x v="1"/>
    <x v="0"/>
    <x v="0"/>
    <s v="Asthma Management"/>
    <n v="115"/>
    <n v="4"/>
    <x v="2"/>
    <x v="7"/>
  </r>
  <r>
    <x v="41"/>
    <x v="41"/>
    <s v="D03"/>
    <d v="2025-04-18T00:00:00"/>
    <d v="2025-04-22T00:00:00"/>
    <s v="Hypertension"/>
    <s v="Noah White"/>
    <x v="0"/>
    <n v="37"/>
    <x v="1"/>
    <x v="2"/>
    <x v="2"/>
    <s v="Hypertension Medication"/>
    <n v="180"/>
    <n v="4"/>
    <x v="2"/>
    <x v="3"/>
  </r>
  <r>
    <x v="42"/>
    <x v="42"/>
    <s v="D04"/>
    <d v="2025-02-10T00:00:00"/>
    <d v="2025-02-14T00:00:00"/>
    <s v="Fracture"/>
    <s v="Amelia Reed"/>
    <x v="1"/>
    <n v="19"/>
    <x v="1"/>
    <x v="3"/>
    <x v="3"/>
    <s v="Orthopedic Surgery"/>
    <n v="1300"/>
    <n v="4"/>
    <x v="0"/>
    <x v="1"/>
  </r>
  <r>
    <x v="43"/>
    <x v="43"/>
    <s v="D05"/>
    <d v="2025-08-12T00:00:00"/>
    <d v="2025-08-16T00:00:00"/>
    <s v="Flu"/>
    <s v="Leo Murphy"/>
    <x v="0"/>
    <n v="9"/>
    <x v="1"/>
    <x v="4"/>
    <x v="4"/>
    <s v="Flu Care Plan"/>
    <n v="80"/>
    <n v="4"/>
    <x v="3"/>
    <x v="7"/>
  </r>
  <r>
    <x v="44"/>
    <x v="44"/>
    <s v="D04"/>
    <d v="2025-04-01T00:00:00"/>
    <d v="2025-04-04T00:00:00"/>
    <s v="Sprain"/>
    <s v="Jacob Lewis"/>
    <x v="0"/>
    <n v="12"/>
    <x v="1"/>
    <x v="3"/>
    <x v="3"/>
    <s v="Sprain Treatment"/>
    <n v="70"/>
    <n v="3"/>
    <x v="3"/>
    <x v="3"/>
  </r>
  <r>
    <x v="45"/>
    <x v="45"/>
    <s v="D04"/>
    <d v="2025-09-12T00:00:00"/>
    <d v="2025-09-16T00:00:00"/>
    <s v="Sprain"/>
    <s v="Max Bailey"/>
    <x v="0"/>
    <n v="21"/>
    <x v="1"/>
    <x v="3"/>
    <x v="3"/>
    <s v="Sprain Recovery Program"/>
    <n v="70"/>
    <n v="4"/>
    <x v="0"/>
    <x v="8"/>
  </r>
  <r>
    <x v="46"/>
    <x v="46"/>
    <s v="D02"/>
    <d v="2025-06-18T00:00:00"/>
    <d v="2025-06-22T00:00:00"/>
    <s v="Flu"/>
    <s v="Isabella Green"/>
    <x v="1"/>
    <n v="45"/>
    <x v="1"/>
    <x v="1"/>
    <x v="1"/>
    <s v="Flu Recovery Plan"/>
    <n v="70"/>
    <n v="4"/>
    <x v="2"/>
    <x v="5"/>
  </r>
  <r>
    <x v="47"/>
    <x v="47"/>
    <s v="D04"/>
    <d v="2025-05-30T00:00:00"/>
    <d v="2025-06-03T00:00:00"/>
    <s v="Fracture"/>
    <s v="Thomas Collins"/>
    <x v="0"/>
    <n v="44"/>
    <x v="2"/>
    <x v="3"/>
    <x v="3"/>
    <s v="Fracture Casting"/>
    <n v="320"/>
    <n v="4"/>
    <x v="2"/>
    <x v="4"/>
  </r>
  <r>
    <x v="48"/>
    <x v="48"/>
    <s v="D02"/>
    <d v="2025-03-05T00:00:00"/>
    <d v="2025-03-09T00:00:00"/>
    <s v="Pneumonia"/>
    <s v="James Price"/>
    <x v="0"/>
    <n v="60"/>
    <x v="2"/>
    <x v="1"/>
    <x v="1"/>
    <s v="Pneumonia Antibiotics"/>
    <n v="340"/>
    <n v="4"/>
    <x v="1"/>
    <x v="2"/>
  </r>
  <r>
    <x v="49"/>
    <x v="49"/>
    <s v="D02"/>
    <d v="2025-09-22T00:00:00"/>
    <d v="2025-09-26T00:00:00"/>
    <s v="Pneumonia"/>
    <s v="Matthew Baker"/>
    <x v="0"/>
    <n v="58"/>
    <x v="2"/>
    <x v="1"/>
    <x v="1"/>
    <s v="Pneumonia Treatment"/>
    <n v="340"/>
    <n v="4"/>
    <x v="1"/>
    <x v="8"/>
  </r>
  <r>
    <x v="50"/>
    <x v="50"/>
    <s v="D03"/>
    <d v="2025-01-25T00:00:00"/>
    <d v="2025-01-29T00:00:00"/>
    <s v="Hypertension"/>
    <s v="Noah Bennett"/>
    <x v="0"/>
    <n v="41"/>
    <x v="2"/>
    <x v="2"/>
    <x v="2"/>
    <s v="Blood Pressure Control"/>
    <n v="200"/>
    <n v="4"/>
    <x v="2"/>
    <x v="0"/>
  </r>
  <r>
    <x v="51"/>
    <x v="51"/>
    <s v="D05"/>
    <d v="2025-07-25T00:00:00"/>
    <d v="2025-07-29T00:00:00"/>
    <s v="Hypertension"/>
    <s v="Michael Howard"/>
    <x v="0"/>
    <n v="64"/>
    <x v="2"/>
    <x v="4"/>
    <x v="4"/>
    <s v="Blood Pressure Therapy"/>
    <n v="190"/>
    <n v="4"/>
    <x v="1"/>
    <x v="6"/>
  </r>
  <r>
    <x v="52"/>
    <x v="52"/>
    <s v="D05"/>
    <d v="2025-12-15T00:00:00"/>
    <d v="2025-12-18T00:00:00"/>
    <s v="Migraine"/>
    <s v="Lily Morgan"/>
    <x v="1"/>
    <n v="39"/>
    <x v="2"/>
    <x v="4"/>
    <x v="4"/>
    <s v="Migraine Care"/>
    <n v="95"/>
    <n v="3"/>
    <x v="2"/>
    <x v="11"/>
  </r>
  <r>
    <x v="53"/>
    <x v="53"/>
    <s v="D05"/>
    <d v="2025-04-17T00:00:00"/>
    <d v="2025-04-21T00:00:00"/>
    <s v="Appendicitis"/>
    <s v="Henry Brooks"/>
    <x v="0"/>
    <n v="37"/>
    <x v="2"/>
    <x v="4"/>
    <x v="4"/>
    <s v="Appendectomy Surgery"/>
    <n v="1250"/>
    <n v="4"/>
    <x v="2"/>
    <x v="3"/>
  </r>
  <r>
    <x v="54"/>
    <x v="54"/>
    <s v="D04"/>
    <d v="2025-10-20T00:00:00"/>
    <d v="2025-10-23T00:00:00"/>
    <s v="Flu"/>
    <s v="Lucy Nelson"/>
    <x v="1"/>
    <n v="11"/>
    <x v="2"/>
    <x v="3"/>
    <x v="3"/>
    <s v="Flu Therapy"/>
    <n v="85"/>
    <n v="3"/>
    <x v="3"/>
    <x v="9"/>
  </r>
  <r>
    <x v="55"/>
    <x v="55"/>
    <s v="D01"/>
    <d v="2025-07-05T00:00:00"/>
    <d v="2025-07-09T00:00:00"/>
    <s v="Flu"/>
    <s v="Joseph Bailey"/>
    <x v="0"/>
    <n v="38"/>
    <x v="2"/>
    <x v="0"/>
    <x v="0"/>
    <s v="Flu Recovery Plan"/>
    <n v="70"/>
    <n v="4"/>
    <x v="2"/>
    <x v="6"/>
  </r>
  <r>
    <x v="56"/>
    <x v="56"/>
    <s v="D04"/>
    <d v="2025-02-14T00:00:00"/>
    <d v="2025-02-18T00:00:00"/>
    <s v="Fracture"/>
    <s v="Oliver Hughes"/>
    <x v="0"/>
    <n v="52"/>
    <x v="2"/>
    <x v="3"/>
    <x v="3"/>
    <s v="Orthopedic Surgery"/>
    <n v="1300"/>
    <n v="4"/>
    <x v="1"/>
    <x v="1"/>
  </r>
  <r>
    <x v="57"/>
    <x v="57"/>
    <s v="D03"/>
    <d v="2025-08-14T00:00:00"/>
    <d v="2025-08-18T00:00:00"/>
    <s v="Chest Infection"/>
    <s v="Samuel Cooper"/>
    <x v="0"/>
    <n v="48"/>
    <x v="2"/>
    <x v="2"/>
    <x v="2"/>
    <s v="Chest Infection Care"/>
    <n v="140"/>
    <n v="4"/>
    <x v="2"/>
    <x v="7"/>
  </r>
  <r>
    <x v="58"/>
    <x v="58"/>
    <s v="D02"/>
    <d v="2025-11-08T00:00:00"/>
    <d v="2025-11-12T00:00:00"/>
    <s v="Asthma"/>
    <s v="Victoria Allen"/>
    <x v="1"/>
    <n v="65"/>
    <x v="2"/>
    <x v="1"/>
    <x v="1"/>
    <s v="Asthma Management"/>
    <n v="115"/>
    <n v="4"/>
    <x v="1"/>
    <x v="10"/>
  </r>
  <r>
    <x v="59"/>
    <x v="59"/>
    <s v="D03"/>
    <d v="2025-05-10T00:00:00"/>
    <d v="2025-05-14T00:00:00"/>
    <s v="Hypertension"/>
    <s v="William Turner"/>
    <x v="0"/>
    <n v="50"/>
    <x v="2"/>
    <x v="2"/>
    <x v="2"/>
    <s v="Hypertension Medication"/>
    <n v="180"/>
    <n v="4"/>
    <x v="2"/>
    <x v="4"/>
  </r>
  <r>
    <x v="60"/>
    <x v="60"/>
    <s v="D04"/>
    <d v="2025-09-02T00:00:00"/>
    <d v="2025-09-06T00:00:00"/>
    <s v="Fracture"/>
    <s v="David Long"/>
    <x v="0"/>
    <n v="40"/>
    <x v="2"/>
    <x v="3"/>
    <x v="3"/>
    <s v="Fracture Rehab"/>
    <n v="310"/>
    <n v="4"/>
    <x v="2"/>
    <x v="8"/>
  </r>
  <r>
    <x v="61"/>
    <x v="61"/>
    <s v="D03"/>
    <d v="2025-03-18T00:00:00"/>
    <d v="2025-03-21T00:00:00"/>
    <s v="Diabetes Check"/>
    <s v="Isla Reed"/>
    <x v="1"/>
    <n v="24"/>
    <x v="2"/>
    <x v="2"/>
    <x v="2"/>
    <s v="Diabetes Monitoring"/>
    <n v="160"/>
    <n v="3"/>
    <x v="0"/>
    <x v="2"/>
  </r>
  <r>
    <x v="62"/>
    <x v="62"/>
    <s v="D01"/>
    <d v="2025-11-28T00:00:00"/>
    <d v="2025-12-02T00:00:00"/>
    <s v="Sprain"/>
    <s v="Freya Adams"/>
    <x v="1"/>
    <n v="30"/>
    <x v="2"/>
    <x v="0"/>
    <x v="0"/>
    <s v="Sprain Recovery Program"/>
    <n v="70"/>
    <n v="4"/>
    <x v="0"/>
    <x v="10"/>
  </r>
  <r>
    <x v="63"/>
    <x v="63"/>
    <s v="D02"/>
    <d v="2025-06-18T00:00:00"/>
    <d v="2025-06-22T00:00:00"/>
    <s v="Gastroenteritis"/>
    <s v="Daniel Scott"/>
    <x v="0"/>
    <n v="27"/>
    <x v="2"/>
    <x v="1"/>
    <x v="1"/>
    <s v="Gastro Treatment"/>
    <n v="110"/>
    <n v="4"/>
    <x v="0"/>
    <x v="5"/>
  </r>
  <r>
    <x v="64"/>
    <x v="64"/>
    <s v="D01"/>
    <d v="2025-10-10T00:00:00"/>
    <d v="2025-10-14T00:00:00"/>
    <s v="Diabetes Check"/>
    <s v="Andrew Carter"/>
    <x v="0"/>
    <n v="43"/>
    <x v="2"/>
    <x v="0"/>
    <x v="0"/>
    <s v="Diabetes Care Plan"/>
    <n v="160"/>
    <n v="4"/>
    <x v="2"/>
    <x v="9"/>
  </r>
  <r>
    <x v="65"/>
    <x v="65"/>
    <s v="D04"/>
    <d v="2025-04-08T00:00:00"/>
    <d v="2025-04-11T00:00:00"/>
    <s v="Sprain"/>
    <s v="Lily Cox"/>
    <x v="1"/>
    <n v="12"/>
    <x v="2"/>
    <x v="3"/>
    <x v="3"/>
    <s v="Sprain Treatment"/>
    <n v="70"/>
    <n v="3"/>
    <x v="3"/>
    <x v="3"/>
  </r>
  <r>
    <x v="66"/>
    <x v="66"/>
    <s v="D02"/>
    <d v="2025-08-04T00:00:00"/>
    <d v="2025-08-07T00:00:00"/>
    <s v="Asthma"/>
    <s v="Chloe Richardson"/>
    <x v="1"/>
    <n v="19"/>
    <x v="2"/>
    <x v="1"/>
    <x v="1"/>
    <s v="Asthma Treatment"/>
    <n v="120"/>
    <n v="3"/>
    <x v="0"/>
    <x v="7"/>
  </r>
  <r>
    <x v="67"/>
    <x v="67"/>
    <s v="D04"/>
    <d v="2025-12-05T00:00:00"/>
    <d v="2025-12-09T00:00:00"/>
    <s v="Fracture"/>
    <s v="Max Powell"/>
    <x v="0"/>
    <n v="47"/>
    <x v="2"/>
    <x v="3"/>
    <x v="3"/>
    <s v="Fracture Treatment"/>
    <n v="310"/>
    <n v="4"/>
    <x v="2"/>
    <x v="11"/>
  </r>
  <r>
    <x v="68"/>
    <x v="68"/>
    <s v="D02"/>
    <d v="2025-01-12T00:00:00"/>
    <d v="2025-01-16T00:00:00"/>
    <s v="Flu"/>
    <s v="Amelia Stone"/>
    <x v="1"/>
    <n v="29"/>
    <x v="2"/>
    <x v="1"/>
    <x v="1"/>
    <s v="Antiviral Medication"/>
    <n v="85"/>
    <n v="4"/>
    <x v="0"/>
    <x v="0"/>
  </r>
  <r>
    <x v="69"/>
    <x v="69"/>
    <s v="D05"/>
    <d v="2025-09-12T00:00:00"/>
    <d v="2025-09-15T00:00:00"/>
    <s v="Migraine"/>
    <s v="Harper Green"/>
    <x v="1"/>
    <n v="15"/>
    <x v="2"/>
    <x v="4"/>
    <x v="4"/>
    <s v="Migraine Relief"/>
    <n v="95"/>
    <n v="3"/>
    <x v="3"/>
    <x v="8"/>
  </r>
  <r>
    <x v="70"/>
    <x v="70"/>
    <s v="D02"/>
    <d v="2025-04-29T00:00:00"/>
    <d v="2025-05-03T00:00:00"/>
    <s v="Flu"/>
    <s v="Emily Parker"/>
    <x v="1"/>
    <n v="28"/>
    <x v="2"/>
    <x v="1"/>
    <x v="1"/>
    <s v="Flu Medication"/>
    <n v="80"/>
    <n v="4"/>
    <x v="0"/>
    <x v="3"/>
  </r>
  <r>
    <x v="71"/>
    <x v="71"/>
    <s v="D03"/>
    <d v="2025-06-28T00:00:00"/>
    <d v="2025-07-02T00:00:00"/>
    <s v="Pneumonia"/>
    <s v="Ella Murphy"/>
    <x v="1"/>
    <n v="55"/>
    <x v="2"/>
    <x v="2"/>
    <x v="2"/>
    <s v="Pneumonia Care"/>
    <n v="330"/>
    <n v="4"/>
    <x v="1"/>
    <x v="5"/>
  </r>
  <r>
    <x v="72"/>
    <x v="72"/>
    <s v="D05"/>
    <d v="2025-02-25T00:00:00"/>
    <d v="2025-03-01T00:00:00"/>
    <s v="Migraine"/>
    <s v="Mia Foster"/>
    <x v="1"/>
    <n v="33"/>
    <x v="2"/>
    <x v="4"/>
    <x v="4"/>
    <s v="Pain Relief Therapy"/>
    <n v="60"/>
    <n v="4"/>
    <x v="0"/>
    <x v="1"/>
  </r>
  <r>
    <x v="73"/>
    <x v="73"/>
    <s v="D05"/>
    <d v="2025-10-30T00:00:00"/>
    <d v="2025-11-03T00:00:00"/>
    <s v="Appendicitis"/>
    <s v="Joshua Wright"/>
    <x v="0"/>
    <n v="36"/>
    <x v="2"/>
    <x v="4"/>
    <x v="4"/>
    <s v="Appendicitis Surgery"/>
    <n v="1250"/>
    <n v="4"/>
    <x v="2"/>
    <x v="9"/>
  </r>
  <r>
    <x v="74"/>
    <x v="74"/>
    <s v="D05"/>
    <d v="2025-06-08T00:00:00"/>
    <d v="2025-06-12T00:00:00"/>
    <s v="Migraine"/>
    <s v="Grace Mitchell"/>
    <x v="1"/>
    <n v="31"/>
    <x v="2"/>
    <x v="4"/>
    <x v="4"/>
    <s v="Migraine Treatment"/>
    <n v="90"/>
    <n v="4"/>
    <x v="0"/>
    <x v="5"/>
  </r>
  <r>
    <x v="75"/>
    <x v="75"/>
    <s v="D01"/>
    <d v="2025-08-24T00:00:00"/>
    <d v="2025-08-28T00:00:00"/>
    <s v="Flu"/>
    <s v="Zoe James"/>
    <x v="1"/>
    <n v="34"/>
    <x v="2"/>
    <x v="0"/>
    <x v="0"/>
    <s v="Flu Care Plan"/>
    <n v="80"/>
    <n v="4"/>
    <x v="0"/>
    <x v="7"/>
  </r>
  <r>
    <x v="76"/>
    <x v="76"/>
    <s v="D03"/>
    <d v="2025-11-18T00:00:00"/>
    <d v="2025-11-22T00:00:00"/>
    <s v="Chest Infection"/>
    <s v="Edward King"/>
    <x v="0"/>
    <n v="22"/>
    <x v="2"/>
    <x v="2"/>
    <x v="2"/>
    <s v="Chest Infection Therapy"/>
    <n v="140"/>
    <n v="4"/>
    <x v="0"/>
    <x v="10"/>
  </r>
  <r>
    <x v="77"/>
    <x v="77"/>
    <s v="D01"/>
    <d v="2025-02-03T00:00:00"/>
    <d v="2025-02-06T00:00:00"/>
    <s v="Asthma"/>
    <s v="Sophia Clarke"/>
    <x v="1"/>
    <n v="18"/>
    <x v="2"/>
    <x v="0"/>
    <x v="0"/>
    <s v="Inhaler Therapy"/>
    <n v="120"/>
    <n v="3"/>
    <x v="3"/>
    <x v="1"/>
  </r>
  <r>
    <x v="78"/>
    <x v="78"/>
    <s v="D03"/>
    <d v="2025-10-01T00:00:00"/>
    <d v="2025-10-05T00:00:00"/>
    <s v="Hypertension"/>
    <s v="Sophie Hill"/>
    <x v="1"/>
    <n v="26"/>
    <x v="2"/>
    <x v="2"/>
    <x v="2"/>
    <s v="Hypertension Control"/>
    <n v="180"/>
    <n v="4"/>
    <x v="0"/>
    <x v="9"/>
  </r>
  <r>
    <x v="79"/>
    <x v="79"/>
    <s v="D01"/>
    <d v="2025-05-20T00:00:00"/>
    <d v="2025-05-23T00:00:00"/>
    <s v="Asthma"/>
    <s v="Charlotte Evans"/>
    <x v="1"/>
    <n v="16"/>
    <x v="2"/>
    <x v="0"/>
    <x v="0"/>
    <s v="Asthma Control"/>
    <n v="115"/>
    <n v="3"/>
    <x v="3"/>
    <x v="4"/>
  </r>
  <r>
    <x v="80"/>
    <x v="80"/>
    <s v="D04"/>
    <d v="2025-07-15T00:00:00"/>
    <d v="2025-07-18T00:00:00"/>
    <s v="Sprain"/>
    <s v="Aria Kelly"/>
    <x v="1"/>
    <n v="21"/>
    <x v="2"/>
    <x v="3"/>
    <x v="3"/>
    <s v="Sprain Recovery"/>
    <n v="70"/>
    <n v="3"/>
    <x v="0"/>
    <x v="6"/>
  </r>
  <r>
    <x v="81"/>
    <x v="81"/>
    <s v="D01"/>
    <d v="2025-03-28T00:00:00"/>
    <d v="2025-04-01T00:00:00"/>
    <s v="Chest Infection"/>
    <s v="George Ward"/>
    <x v="0"/>
    <n v="45"/>
    <x v="2"/>
    <x v="0"/>
    <x v="0"/>
    <s v="Chest Antibiotics"/>
    <n v="210"/>
    <n v="4"/>
    <x v="2"/>
    <x v="2"/>
  </r>
  <r>
    <x v="82"/>
    <x v="82"/>
    <s v="D05"/>
    <d v="2025-04-10T00:00:00"/>
    <d v="2025-04-14T00:00:00"/>
    <s v="Appendicitis"/>
    <s v="Chloe Adams"/>
    <x v="1"/>
    <n v="44"/>
    <x v="1"/>
    <x v="4"/>
    <x v="4"/>
    <s v="Appendectomy Surgery"/>
    <n v="1250"/>
    <n v="4"/>
    <x v="2"/>
    <x v="3"/>
  </r>
  <r>
    <x v="83"/>
    <x v="83"/>
    <s v="D02"/>
    <d v="2025-07-28T00:00:00"/>
    <d v="2025-08-01T00:00:00"/>
    <s v="Gastroenteritis"/>
    <s v="Michael Evans"/>
    <x v="0"/>
    <n v="48"/>
    <x v="1"/>
    <x v="1"/>
    <x v="1"/>
    <s v="Gastroenteritis Treatment"/>
    <n v="110"/>
    <n v="4"/>
    <x v="2"/>
    <x v="6"/>
  </r>
  <r>
    <x v="84"/>
    <x v="84"/>
    <s v="D05"/>
    <d v="2025-02-22T00:00:00"/>
    <d v="2025-02-26T00:00:00"/>
    <s v="Hypertension"/>
    <s v="Daniel Brown"/>
    <x v="0"/>
    <n v="41"/>
    <x v="1"/>
    <x v="4"/>
    <x v="4"/>
    <s v="Blood Pressure Control"/>
    <n v="200"/>
    <n v="4"/>
    <x v="2"/>
    <x v="1"/>
  </r>
  <r>
    <x v="85"/>
    <x v="85"/>
    <s v="D05"/>
    <d v="2025-05-25T00:00:00"/>
    <d v="2025-05-29T00:00:00"/>
    <s v="Migraine"/>
    <s v="Oscar Young"/>
    <x v="0"/>
    <n v="61"/>
    <x v="1"/>
    <x v="4"/>
    <x v="4"/>
    <s v="Migraine Treatment"/>
    <n v="90"/>
    <n v="4"/>
    <x v="1"/>
    <x v="4"/>
  </r>
  <r>
    <x v="86"/>
    <x v="86"/>
    <s v="D04"/>
    <d v="2025-06-28T00:00:00"/>
    <d v="2025-07-02T00:00:00"/>
    <s v="Sprain"/>
    <s v="William Baker"/>
    <x v="0"/>
    <n v="31"/>
    <x v="1"/>
    <x v="3"/>
    <x v="3"/>
    <s v="Sprain Recovery"/>
    <n v="70"/>
    <n v="4"/>
    <x v="0"/>
    <x v="5"/>
  </r>
  <r>
    <x v="87"/>
    <x v="87"/>
    <s v="D05"/>
    <d v="2025-05-05T00:00:00"/>
    <d v="2025-05-09T00:00:00"/>
    <s v="Appendicitis"/>
    <s v="William Scott"/>
    <x v="0"/>
    <n v="38"/>
    <x v="3"/>
    <x v="4"/>
    <x v="4"/>
    <s v="Appendectomy Surgery"/>
    <n v="1250"/>
    <n v="4"/>
    <x v="2"/>
    <x v="4"/>
  </r>
  <r>
    <x v="88"/>
    <x v="88"/>
    <s v="D02"/>
    <d v="2025-03-20T00:00:00"/>
    <d v="2025-03-24T00:00:00"/>
    <s v="Chest Infection"/>
    <s v="Emily Scott"/>
    <x v="1"/>
    <n v="25"/>
    <x v="1"/>
    <x v="1"/>
    <x v="1"/>
    <s v="Chest Antibiotics"/>
    <n v="210"/>
    <n v="4"/>
    <x v="0"/>
    <x v="2"/>
  </r>
  <r>
    <x v="89"/>
    <x v="89"/>
    <s v="D02"/>
    <d v="2025-09-05T00:00:00"/>
    <d v="2025-09-09T00:00:00"/>
    <s v="Migraine"/>
    <s v="Lucy Richardson"/>
    <x v="1"/>
    <n v="53"/>
    <x v="1"/>
    <x v="1"/>
    <x v="1"/>
    <s v="Migraine Relief"/>
    <n v="95"/>
    <n v="4"/>
    <x v="1"/>
    <x v="8"/>
  </r>
  <r>
    <x v="90"/>
    <x v="90"/>
    <s v="D03"/>
    <d v="2025-01-10T00:00:00"/>
    <d v="2025-01-14T00:00:00"/>
    <s v="Asthma"/>
    <s v="Oliver Grant"/>
    <x v="0"/>
    <n v="34"/>
    <x v="1"/>
    <x v="2"/>
    <x v="2"/>
    <s v="Inhaler Therapy"/>
    <n v="120"/>
    <n v="4"/>
    <x v="0"/>
    <x v="0"/>
  </r>
  <r>
    <x v="91"/>
    <x v="91"/>
    <s v="D01"/>
    <d v="2025-07-20T00:00:00"/>
    <d v="2025-07-24T00:00:00"/>
    <s v="Chest Infection"/>
    <s v="Ella Carter"/>
    <x v="1"/>
    <n v="40"/>
    <x v="1"/>
    <x v="0"/>
    <x v="0"/>
    <s v="Chest Infection Care"/>
    <n v="140"/>
    <n v="4"/>
    <x v="2"/>
    <x v="6"/>
  </r>
  <r>
    <x v="92"/>
    <x v="92"/>
    <s v="D01"/>
    <d v="2025-06-10T00:00:00"/>
    <d v="2025-06-14T00:00:00"/>
    <s v="Asthma"/>
    <s v="James Wright"/>
    <x v="0"/>
    <n v="27"/>
    <x v="1"/>
    <x v="0"/>
    <x v="0"/>
    <s v="Asthma Control"/>
    <n v="115"/>
    <n v="4"/>
    <x v="0"/>
    <x v="5"/>
  </r>
  <r>
    <x v="93"/>
    <x v="93"/>
    <s v="D03"/>
    <d v="2025-08-20T00:00:00"/>
    <d v="2025-08-24T00:00:00"/>
    <s v="Pneumonia"/>
    <s v="Charlotte Ward"/>
    <x v="1"/>
    <n v="36"/>
    <x v="1"/>
    <x v="2"/>
    <x v="2"/>
    <s v="Pneumonia Treatment"/>
    <n v="340"/>
    <n v="4"/>
    <x v="2"/>
    <x v="7"/>
  </r>
  <r>
    <x v="94"/>
    <x v="94"/>
    <s v="D03"/>
    <d v="2025-03-01T00:00:00"/>
    <d v="2025-03-05T00:00:00"/>
    <s v="Pneumonia"/>
    <s v="Mia Patel"/>
    <x v="1"/>
    <n v="33"/>
    <x v="1"/>
    <x v="2"/>
    <x v="2"/>
    <s v="Pneumonia Antibiotics"/>
    <n v="340"/>
    <n v="4"/>
    <x v="0"/>
    <x v="2"/>
  </r>
  <r>
    <x v="95"/>
    <x v="95"/>
    <s v="D04"/>
    <d v="2025-08-05T00:00:00"/>
    <d v="2025-08-09T00:00:00"/>
    <s v="Fracture"/>
    <s v="Harper Collins"/>
    <x v="1"/>
    <n v="18"/>
    <x v="1"/>
    <x v="3"/>
    <x v="3"/>
    <s v="Fracture Rehab"/>
    <n v="310"/>
    <n v="4"/>
    <x v="3"/>
    <x v="7"/>
  </r>
  <r>
    <x v="96"/>
    <x v="96"/>
    <s v="D01"/>
    <d v="2025-04-28T00:00:00"/>
    <d v="2025-05-02T00:00:00"/>
    <s v="Flu"/>
    <s v="Lily Johnson"/>
    <x v="1"/>
    <n v="29"/>
    <x v="1"/>
    <x v="0"/>
    <x v="0"/>
    <s v="Flu Medication"/>
    <n v="80"/>
    <n v="4"/>
    <x v="0"/>
    <x v="3"/>
  </r>
  <r>
    <x v="97"/>
    <x v="97"/>
    <s v="D05"/>
    <d v="2025-07-05T00:00:00"/>
    <d v="2025-07-09T00:00:00"/>
    <s v="Appendicitis"/>
    <s v="Sophia Turner"/>
    <x v="1"/>
    <n v="22"/>
    <x v="1"/>
    <x v="4"/>
    <x v="4"/>
    <m/>
    <m/>
    <n v="4"/>
    <x v="0"/>
    <x v="6"/>
  </r>
  <r>
    <x v="98"/>
    <x v="98"/>
    <s v="D02"/>
    <d v="2025-02-03T00:00:00"/>
    <d v="2025-02-07T00:00:00"/>
    <s v="Migraine"/>
    <s v="George Miller"/>
    <x v="0"/>
    <n v="52"/>
    <x v="1"/>
    <x v="1"/>
    <x v="1"/>
    <s v="Pain Relief Therapy"/>
    <n v="60"/>
    <n v="4"/>
    <x v="1"/>
    <x v="1"/>
  </r>
  <r>
    <x v="99"/>
    <x v="99"/>
    <s v="D04"/>
    <d v="2025-05-15T00:00:00"/>
    <d v="2025-05-18T00:00:00"/>
    <s v="Fracture"/>
    <s v="Amelia Hall"/>
    <x v="1"/>
    <n v="16"/>
    <x v="1"/>
    <x v="3"/>
    <x v="3"/>
    <s v="Fracture Casting"/>
    <n v="320"/>
    <n v="3"/>
    <x v="3"/>
    <x v="4"/>
  </r>
  <r>
    <x v="100"/>
    <x v="100"/>
    <s v="D01"/>
    <d v="2025-07-25T00:00:00"/>
    <d v="2025-07-29T00:00:00"/>
    <s v="Asthma"/>
    <s v="Grace Young"/>
    <x v="1"/>
    <n v="22"/>
    <x v="3"/>
    <x v="0"/>
    <x v="0"/>
    <s v="Asthma Control"/>
    <n v="115"/>
    <n v="4"/>
    <x v="0"/>
    <x v="6"/>
  </r>
  <r>
    <x v="101"/>
    <x v="101"/>
    <s v="D05"/>
    <d v="2025-12-28T00:00:00"/>
    <d v="2025-12-31T00:00:00"/>
    <s v="Migraine"/>
    <s v="Freya Powell"/>
    <x v="1"/>
    <n v="28"/>
    <x v="3"/>
    <x v="4"/>
    <x v="4"/>
    <s v="Migraine Care"/>
    <n v="95"/>
    <n v="3"/>
    <x v="0"/>
    <x v="11"/>
  </r>
  <r>
    <x v="102"/>
    <x v="102"/>
    <s v="D02"/>
    <d v="2025-02-14T00:00:00"/>
    <d v="2025-02-18T00:00:00"/>
    <s v="Migraine"/>
    <s v="Amelia Collins"/>
    <x v="1"/>
    <n v="17"/>
    <x v="3"/>
    <x v="1"/>
    <x v="1"/>
    <s v="Pain Relief Therapy"/>
    <n v="60"/>
    <n v="4"/>
    <x v="3"/>
    <x v="1"/>
  </r>
  <r>
    <x v="103"/>
    <x v="103"/>
    <s v="D01"/>
    <d v="2025-09-18T00:00:00"/>
    <d v="2025-09-22T00:00:00"/>
    <s v="Chest Infection"/>
    <s v="Samuel Evans"/>
    <x v="0"/>
    <n v="50"/>
    <x v="3"/>
    <x v="0"/>
    <x v="0"/>
    <s v="Chest Infection Care"/>
    <n v="140"/>
    <n v="4"/>
    <x v="2"/>
    <x v="8"/>
  </r>
  <r>
    <x v="104"/>
    <x v="104"/>
    <s v="D02"/>
    <d v="2025-03-01T00:00:00"/>
    <d v="2025-03-05T00:00:00"/>
    <s v="Pneumonia"/>
    <s v="Mia Foster"/>
    <x v="1"/>
    <n v="33"/>
    <x v="4"/>
    <x v="1"/>
    <x v="1"/>
    <s v="Pneumonia Antibiotics"/>
    <n v="340"/>
    <n v="4"/>
    <x v="0"/>
    <x v="2"/>
  </r>
  <r>
    <x v="105"/>
    <x v="105"/>
    <s v="D02"/>
    <d v="2025-07-09T00:00:00"/>
    <d v="2025-07-13T00:00:00"/>
    <s v="Hypertension"/>
    <s v="Alexander White"/>
    <x v="0"/>
    <n v="55"/>
    <x v="4"/>
    <x v="1"/>
    <x v="1"/>
    <s v="Blood Pressure Therapy"/>
    <n v="190"/>
    <n v="4"/>
    <x v="1"/>
    <x v="6"/>
  </r>
  <r>
    <x v="106"/>
    <x v="106"/>
    <s v="D03"/>
    <d v="2025-01-18T00:00:00"/>
    <d v="2025-01-22T00:00:00"/>
    <s v="Hypertension"/>
    <s v="Sophia Morgan"/>
    <x v="1"/>
    <n v="28"/>
    <x v="4"/>
    <x v="2"/>
    <x v="2"/>
    <s v="Blood Pressure Control"/>
    <n v="200"/>
    <n v="4"/>
    <x v="0"/>
    <x v="0"/>
  </r>
  <r>
    <x v="107"/>
    <x v="107"/>
    <s v="D04"/>
    <d v="2025-05-12T00:00:00"/>
    <d v="2025-05-16T00:00:00"/>
    <s v="Fracture"/>
    <s v="Amelia Brooks"/>
    <x v="1"/>
    <n v="16"/>
    <x v="4"/>
    <x v="3"/>
    <x v="3"/>
    <s v="Fracture Casting"/>
    <n v="320"/>
    <n v="4"/>
    <x v="3"/>
    <x v="4"/>
  </r>
  <r>
    <x v="108"/>
    <x v="108"/>
    <s v="D05"/>
    <d v="2025-04-05T00:00:00"/>
    <d v="2025-04-09T00:00:00"/>
    <s v="Appendicitis"/>
    <s v="Chloe Bennett"/>
    <x v="1"/>
    <n v="44"/>
    <x v="4"/>
    <x v="4"/>
    <x v="4"/>
    <s v="Appendectomy Surgery"/>
    <n v="1250"/>
    <n v="4"/>
    <x v="2"/>
    <x v="3"/>
  </r>
  <r>
    <x v="109"/>
    <x v="109"/>
    <s v="D02"/>
    <d v="2025-08-19T00:00:00"/>
    <d v="2025-08-23T00:00:00"/>
    <s v="Flu"/>
    <s v="Charlotte Ward"/>
    <x v="1"/>
    <n v="36"/>
    <x v="4"/>
    <x v="1"/>
    <x v="1"/>
    <s v="Flu Care Plan"/>
    <n v="80"/>
    <n v="4"/>
    <x v="2"/>
    <x v="7"/>
  </r>
  <r>
    <x v="110"/>
    <x v="110"/>
    <s v="D01"/>
    <d v="2025-06-14T00:00:00"/>
    <d v="2025-06-18T00:00:00"/>
    <s v="Flu"/>
    <s v="Isabella King"/>
    <x v="1"/>
    <n v="45"/>
    <x v="4"/>
    <x v="0"/>
    <x v="0"/>
    <s v="Flu Recovery Plan"/>
    <n v="70"/>
    <n v="4"/>
    <x v="2"/>
    <x v="5"/>
  </r>
  <r>
    <x v="111"/>
    <x v="111"/>
    <s v="D01"/>
    <d v="2025-03-18T00:00:00"/>
    <d v="2025-03-22T00:00:00"/>
    <s v="Chest Infection"/>
    <s v="Emily Clark"/>
    <x v="1"/>
    <n v="25"/>
    <x v="4"/>
    <x v="0"/>
    <x v="0"/>
    <m/>
    <m/>
    <n v="4"/>
    <x v="0"/>
    <x v="2"/>
  </r>
  <r>
    <x v="112"/>
    <x v="112"/>
    <s v="D04"/>
    <d v="2025-02-10T00:00:00"/>
    <d v="2025-02-14T00:00:00"/>
    <s v="Fracture"/>
    <s v="Amelia Hughes"/>
    <x v="1"/>
    <n v="19"/>
    <x v="4"/>
    <x v="3"/>
    <x v="3"/>
    <s v="Orthopedic Surgery"/>
    <n v="1300"/>
    <n v="4"/>
    <x v="0"/>
    <x v="1"/>
  </r>
  <r>
    <x v="113"/>
    <x v="113"/>
    <s v="D04"/>
    <d v="2025-08-03T00:00:00"/>
    <d v="2025-08-07T00:00:00"/>
    <s v="Fracture"/>
    <s v="Harper Kelly"/>
    <x v="1"/>
    <n v="18"/>
    <x v="4"/>
    <x v="3"/>
    <x v="3"/>
    <s v="Fracture Rehab"/>
    <n v="310"/>
    <n v="4"/>
    <x v="3"/>
    <x v="7"/>
  </r>
  <r>
    <x v="114"/>
    <x v="114"/>
    <s v="D03"/>
    <d v="2025-04-25T00:00:00"/>
    <d v="2025-04-29T00:00:00"/>
    <s v="Hypertension"/>
    <s v="Lily Carter"/>
    <x v="1"/>
    <n v="29"/>
    <x v="4"/>
    <x v="2"/>
    <x v="2"/>
    <s v="Hypertension Medication"/>
    <n v="180"/>
    <n v="4"/>
    <x v="0"/>
    <x v="3"/>
  </r>
  <r>
    <x v="115"/>
    <x v="115"/>
    <s v="D05"/>
    <d v="2025-07-01T00:00:00"/>
    <d v="2025-07-05T00:00:00"/>
    <s v="Appendicitis"/>
    <s v="Sophia Turner"/>
    <x v="1"/>
    <n v="22"/>
    <x v="4"/>
    <x v="4"/>
    <x v="4"/>
    <s v="Surgical Appendectomy"/>
    <n v="1250"/>
    <n v="4"/>
    <x v="0"/>
    <x v="6"/>
  </r>
  <r>
    <x v="116"/>
    <x v="116"/>
    <s v="D05"/>
    <d v="2025-02-20T00:00:00"/>
    <d v="2025-02-24T00:00:00"/>
    <s v="Migraine"/>
    <s v="Daniel Ward"/>
    <x v="0"/>
    <n v="41"/>
    <x v="4"/>
    <x v="4"/>
    <x v="4"/>
    <s v="Pain Relief Therapy"/>
    <n v="60"/>
    <n v="4"/>
    <x v="2"/>
    <x v="1"/>
  </r>
  <r>
    <x v="117"/>
    <x v="117"/>
    <s v="D01"/>
    <d v="2025-07-26T00:00:00"/>
    <d v="2025-07-30T00:00:00"/>
    <s v="Diabetes Check"/>
    <s v="Thomas Walker"/>
    <x v="0"/>
    <n v="27"/>
    <x v="3"/>
    <x v="0"/>
    <x v="0"/>
    <s v="Diabetes Care Plan"/>
    <n v="160"/>
    <n v="4"/>
    <x v="0"/>
    <x v="6"/>
  </r>
  <r>
    <x v="118"/>
    <x v="117"/>
    <s v="D04"/>
    <d v="2025-06-20T00:00:00"/>
    <d v="2025-06-24T00:00:00"/>
    <s v="Fracture"/>
    <s v="Thomas Walker"/>
    <x v="0"/>
    <n v="27"/>
    <x v="3"/>
    <x v="3"/>
    <x v="3"/>
    <s v="Fracture Casting"/>
    <n v="320"/>
    <n v="4"/>
    <x v="0"/>
    <x v="5"/>
  </r>
  <r>
    <x v="119"/>
    <x v="118"/>
    <s v="D02"/>
    <d v="2025-04-15T00:00:00"/>
    <d v="2025-04-19T00:00:00"/>
    <s v="Flu"/>
    <s v="Noah Baker"/>
    <x v="0"/>
    <n v="37"/>
    <x v="4"/>
    <x v="1"/>
    <x v="1"/>
    <s v="Flu Medication"/>
    <n v="80"/>
    <n v="4"/>
    <x v="2"/>
    <x v="3"/>
  </r>
  <r>
    <x v="120"/>
    <x v="119"/>
    <s v="D02"/>
    <d v="2025-01-10T00:00:00"/>
    <d v="2025-01-14T00:00:00"/>
    <s v="Flu"/>
    <s v="Oliver Hayes"/>
    <x v="0"/>
    <n v="34"/>
    <x v="4"/>
    <x v="1"/>
    <x v="1"/>
    <s v="Antiviral Medication"/>
    <n v="85"/>
    <n v="4"/>
    <x v="0"/>
    <x v="0"/>
  </r>
  <r>
    <x v="121"/>
    <x v="120"/>
    <s v="D03"/>
    <d v="2025-06-05T00:00:00"/>
    <d v="2025-06-09T00:00:00"/>
    <s v="Chest Infection"/>
    <s v="James Hill"/>
    <x v="0"/>
    <n v="27"/>
    <x v="4"/>
    <x v="2"/>
    <x v="2"/>
    <s v="Chest Infection Care"/>
    <n v="140"/>
    <n v="4"/>
    <x v="0"/>
    <x v="5"/>
  </r>
  <r>
    <x v="122"/>
    <x v="121"/>
    <s v="D03"/>
    <d v="2025-07-18T00:00:00"/>
    <d v="2025-07-22T00:00:00"/>
    <s v="Pneumonia"/>
    <s v="Ella Lewis"/>
    <x v="1"/>
    <n v="40"/>
    <x v="4"/>
    <x v="2"/>
    <x v="2"/>
    <s v="Pneumonia Care"/>
    <n v="330"/>
    <n v="4"/>
    <x v="2"/>
    <x v="6"/>
  </r>
  <r>
    <x v="123"/>
    <x v="122"/>
    <s v="D03"/>
    <d v="2025-03-10T00:00:00"/>
    <d v="2025-03-14T00:00:00"/>
    <s v="Diabetes Check"/>
    <s v="Thomas Green"/>
    <x v="0"/>
    <n v="60"/>
    <x v="4"/>
    <x v="2"/>
    <x v="2"/>
    <s v="Diabetes Monitoring"/>
    <n v="160"/>
    <n v="4"/>
    <x v="1"/>
    <x v="2"/>
  </r>
  <r>
    <x v="124"/>
    <x v="123"/>
    <s v="D01"/>
    <d v="2025-05-03T00:00:00"/>
    <d v="2025-05-07T00:00:00"/>
    <s v="Pneumonia"/>
    <s v="Harry Evans"/>
    <x v="0"/>
    <n v="50"/>
    <x v="4"/>
    <x v="0"/>
    <x v="0"/>
    <s v="Pneumonia Treatment"/>
    <n v="330"/>
    <n v="4"/>
    <x v="2"/>
    <x v="4"/>
  </r>
  <r>
    <x v="125"/>
    <x v="124"/>
    <s v="D04"/>
    <d v="2025-06-22T00:00:00"/>
    <d v="2025-06-26T00:00:00"/>
    <s v="Sprain"/>
    <s v="William Scott"/>
    <x v="0"/>
    <n v="31"/>
    <x v="4"/>
    <x v="3"/>
    <x v="3"/>
    <s v="Sprain Recovery"/>
    <n v="70"/>
    <n v="4"/>
    <x v="0"/>
    <x v="5"/>
  </r>
  <r>
    <x v="126"/>
    <x v="125"/>
    <s v="D04"/>
    <d v="2025-03-28T00:00:00"/>
    <d v="2025-04-01T00:00:00"/>
    <s v="Sprain"/>
    <s v="Jacob Wright"/>
    <x v="0"/>
    <n v="12"/>
    <x v="4"/>
    <x v="3"/>
    <x v="3"/>
    <s v="Sprain Treatment"/>
    <n v="70"/>
    <n v="4"/>
    <x v="3"/>
    <x v="2"/>
  </r>
  <r>
    <x v="127"/>
    <x v="126"/>
    <s v="D05"/>
    <d v="2025-08-11T00:00:00"/>
    <d v="2025-08-15T00:00:00"/>
    <s v="Migraine"/>
    <s v="Leo Murphy"/>
    <x v="0"/>
    <n v="9"/>
    <x v="4"/>
    <x v="4"/>
    <x v="4"/>
    <s v="Migraine Relief"/>
    <n v="95"/>
    <n v="4"/>
    <x v="3"/>
    <x v="7"/>
  </r>
  <r>
    <x v="128"/>
    <x v="127"/>
    <s v="D01"/>
    <d v="2025-02-02T00:00:00"/>
    <d v="2025-02-06T00:00:00"/>
    <s v="Asthma"/>
    <s v="George Ellis"/>
    <x v="0"/>
    <n v="52"/>
    <x v="4"/>
    <x v="0"/>
    <x v="0"/>
    <s v="Inhaler Therapy"/>
    <n v="120"/>
    <n v="4"/>
    <x v="1"/>
    <x v="1"/>
  </r>
  <r>
    <x v="129"/>
    <x v="128"/>
    <s v="D03"/>
    <d v="2025-12-10T00:00:00"/>
    <d v="2025-12-14T00:00:00"/>
    <s v="Hypertension"/>
    <s v="Victoria Cox"/>
    <x v="1"/>
    <n v="65"/>
    <x v="3"/>
    <x v="2"/>
    <x v="2"/>
    <s v="Hypertension Treatment"/>
    <n v="180"/>
    <n v="4"/>
    <x v="1"/>
    <x v="11"/>
  </r>
  <r>
    <x v="129"/>
    <x v="128"/>
    <s v="D03"/>
    <d v="2025-12-10T00:00:00"/>
    <d v="2025-12-14T00:00:00"/>
    <s v="Hypertension"/>
    <s v="Victoria Cox"/>
    <x v="1"/>
    <n v="65"/>
    <x v="3"/>
    <x v="2"/>
    <x v="2"/>
    <s v="Pneumonia Antibiotics"/>
    <n v="340"/>
    <n v="4"/>
    <x v="1"/>
    <x v="11"/>
  </r>
  <r>
    <x v="130"/>
    <x v="128"/>
    <s v="D05"/>
    <d v="2025-05-20T00:00:00"/>
    <d v="2025-05-24T00:00:00"/>
    <s v="Migraine"/>
    <s v="Victoria Cox"/>
    <x v="1"/>
    <n v="65"/>
    <x v="3"/>
    <x v="4"/>
    <x v="4"/>
    <s v="Migraine Treatment"/>
    <n v="90"/>
    <n v="4"/>
    <x v="1"/>
    <x v="4"/>
  </r>
  <r>
    <x v="131"/>
    <x v="129"/>
    <s v="D01"/>
    <d v="2025-04-18T00:00:00"/>
    <d v="2025-04-22T00:00:00"/>
    <s v="Pneumonia"/>
    <s v="Charlotte Ali"/>
    <x v="1"/>
    <n v="16"/>
    <x v="5"/>
    <x v="0"/>
    <x v="0"/>
    <m/>
    <m/>
    <n v="4"/>
    <x v="3"/>
    <x v="3"/>
  </r>
  <r>
    <x v="132"/>
    <x v="130"/>
    <s v="D04"/>
    <d v="2025-08-26T00:00:00"/>
    <d v="2025-08-30T00:00:00"/>
    <s v="Sprain"/>
    <s v="Lucy Rahman"/>
    <x v="1"/>
    <n v="11"/>
    <x v="5"/>
    <x v="3"/>
    <x v="3"/>
    <s v="Sprain Recovery Program"/>
    <n v="70"/>
    <n v="4"/>
    <x v="3"/>
    <x v="7"/>
  </r>
  <r>
    <x v="133"/>
    <x v="131"/>
    <s v="D01"/>
    <d v="2025-01-25T00:00:00"/>
    <d v="2025-01-28T00:00:00"/>
    <s v="Asthma"/>
    <s v="Sophia Chowdhury"/>
    <x v="1"/>
    <n v="19"/>
    <x v="5"/>
    <x v="0"/>
    <x v="0"/>
    <s v="Inhaler Therapy"/>
    <n v="120"/>
    <n v="3"/>
    <x v="0"/>
    <x v="0"/>
  </r>
  <r>
    <x v="134"/>
    <x v="132"/>
    <s v="D04"/>
    <d v="2025-06-07T00:00:00"/>
    <d v="2025-06-11T00:00:00"/>
    <s v="Sprain"/>
    <s v="Aria Khan"/>
    <x v="1"/>
    <n v="21"/>
    <x v="5"/>
    <x v="3"/>
    <x v="3"/>
    <s v="Sprain Recovery"/>
    <n v="70"/>
    <n v="4"/>
    <x v="0"/>
    <x v="5"/>
  </r>
  <r>
    <x v="135"/>
    <x v="133"/>
    <s v="D05"/>
    <d v="2025-03-25T00:00:00"/>
    <d v="2025-03-29T00:00:00"/>
    <s v="Appendicitis"/>
    <s v="Henry Rahman"/>
    <x v="0"/>
    <n v="37"/>
    <x v="5"/>
    <x v="4"/>
    <x v="4"/>
    <s v="Appendectomy Surgery"/>
    <n v="1250"/>
    <n v="4"/>
    <x v="2"/>
    <x v="2"/>
  </r>
  <r>
    <x v="136"/>
    <x v="134"/>
    <s v="D04"/>
    <d v="2025-07-17T00:00:00"/>
    <d v="2025-07-21T00:00:00"/>
    <s v="Fracture"/>
    <s v="David Hussain"/>
    <x v="0"/>
    <n v="40"/>
    <x v="5"/>
    <x v="3"/>
    <x v="3"/>
    <s v="Fracture Rehab"/>
    <n v="310"/>
    <n v="4"/>
    <x v="2"/>
    <x v="6"/>
  </r>
  <r>
    <x v="137"/>
    <x v="135"/>
    <s v="D02"/>
    <d v="2025-09-11T00:00:00"/>
    <d v="2025-09-15T00:00:00"/>
    <s v="Hypertension"/>
    <s v="Victoria Karim"/>
    <x v="1"/>
    <n v="65"/>
    <x v="5"/>
    <x v="1"/>
    <x v="1"/>
    <s v="Hypertension Treatment"/>
    <n v="180"/>
    <n v="4"/>
    <x v="1"/>
    <x v="8"/>
  </r>
  <r>
    <x v="138"/>
    <x v="136"/>
    <s v="D03"/>
    <d v="2025-05-22T00:00:00"/>
    <d v="2025-05-26T00:00:00"/>
    <s v="Chest Infection"/>
    <s v="Ella Begum"/>
    <x v="1"/>
    <n v="55"/>
    <x v="5"/>
    <x v="2"/>
    <x v="2"/>
    <s v="Chest Infection Care"/>
    <n v="140"/>
    <n v="4"/>
    <x v="1"/>
    <x v="4"/>
  </r>
  <r>
    <x v="139"/>
    <x v="137"/>
    <s v="D02"/>
    <d v="2025-06-23T00:00:00"/>
    <d v="2025-06-27T00:00:00"/>
    <s v="Hypertension"/>
    <s v="Chloe Ali"/>
    <x v="1"/>
    <n v="19"/>
    <x v="5"/>
    <x v="1"/>
    <x v="1"/>
    <s v="Blood Pressure Therapy"/>
    <n v="190"/>
    <n v="4"/>
    <x v="0"/>
    <x v="5"/>
  </r>
  <r>
    <x v="140"/>
    <x v="138"/>
    <s v="D05"/>
    <d v="2025-05-06T00:00:00"/>
    <d v="2025-05-10T00:00:00"/>
    <s v="Migraine"/>
    <s v="Grace Hussain"/>
    <x v="1"/>
    <n v="31"/>
    <x v="5"/>
    <x v="4"/>
    <x v="4"/>
    <s v="Migraine Treatment"/>
    <n v="90"/>
    <n v="4"/>
    <x v="0"/>
    <x v="4"/>
  </r>
  <r>
    <x v="141"/>
    <x v="139"/>
    <s v="D02"/>
    <d v="2025-01-08T00:00:00"/>
    <d v="2025-01-12T00:00:00"/>
    <s v="Flu"/>
    <s v="Amelia Rahman"/>
    <x v="1"/>
    <n v="28"/>
    <x v="5"/>
    <x v="1"/>
    <x v="1"/>
    <s v="Antiviral Medication"/>
    <n v="85"/>
    <n v="4"/>
    <x v="0"/>
    <x v="0"/>
  </r>
  <r>
    <x v="142"/>
    <x v="140"/>
    <s v="D01"/>
    <d v="2025-08-18T00:00:00"/>
    <d v="2025-08-22T00:00:00"/>
    <s v="Asthma"/>
    <s v="Andrew Khan"/>
    <x v="0"/>
    <n v="43"/>
    <x v="5"/>
    <x v="0"/>
    <x v="0"/>
    <s v="Asthma Management"/>
    <n v="115"/>
    <n v="4"/>
    <x v="2"/>
    <x v="7"/>
  </r>
  <r>
    <x v="143"/>
    <x v="141"/>
    <s v="D03"/>
    <d v="2025-04-10T00:00:00"/>
    <d v="2025-04-14T00:00:00"/>
    <s v="Hypertension"/>
    <s v="William Chow"/>
    <x v="0"/>
    <n v="50"/>
    <x v="5"/>
    <x v="2"/>
    <x v="2"/>
    <s v="Hypertension Medication"/>
    <n v="180"/>
    <n v="4"/>
    <x v="2"/>
    <x v="3"/>
  </r>
  <r>
    <x v="144"/>
    <x v="142"/>
    <s v="D01"/>
    <d v="2025-07-09T00:00:00"/>
    <d v="2025-07-13T00:00:00"/>
    <s v="Diabetes Check"/>
    <s v="Zoe Karim"/>
    <x v="1"/>
    <n v="34"/>
    <x v="5"/>
    <x v="0"/>
    <x v="0"/>
    <s v="Diabetes Care Plan"/>
    <n v="160"/>
    <n v="4"/>
    <x v="0"/>
    <x v="6"/>
  </r>
  <r>
    <x v="145"/>
    <x v="143"/>
    <s v="D01"/>
    <d v="2025-05-30T00:00:00"/>
    <d v="2025-06-03T00:00:00"/>
    <s v="Flu"/>
    <s v="Joseph Islam"/>
    <x v="0"/>
    <n v="38"/>
    <x v="5"/>
    <x v="0"/>
    <x v="0"/>
    <s v="Flu Recovery Plan"/>
    <n v="70"/>
    <n v="4"/>
    <x v="2"/>
    <x v="4"/>
  </r>
  <r>
    <x v="146"/>
    <x v="144"/>
    <s v="D03"/>
    <d v="2025-08-10T00:00:00"/>
    <d v="2025-08-14T00:00:00"/>
    <s v="Flu"/>
    <s v="Sophie Islam"/>
    <x v="1"/>
    <n v="26"/>
    <x v="5"/>
    <x v="2"/>
    <x v="2"/>
    <s v="Flu Care Plan"/>
    <n v="80"/>
    <n v="4"/>
    <x v="0"/>
    <x v="7"/>
  </r>
  <r>
    <x v="147"/>
    <x v="145"/>
    <s v="D04"/>
    <d v="2025-02-03T00:00:00"/>
    <d v="2025-02-07T00:00:00"/>
    <s v="Fracture"/>
    <s v="Oliver Karim"/>
    <x v="0"/>
    <n v="52"/>
    <x v="5"/>
    <x v="3"/>
    <x v="3"/>
    <s v="Orthopedic Surgery"/>
    <n v="1300"/>
    <n v="4"/>
    <x v="1"/>
    <x v="1"/>
  </r>
  <r>
    <x v="148"/>
    <x v="146"/>
    <s v="D03"/>
    <d v="2025-11-01T00:00:00"/>
    <d v="2025-11-05T00:00:00"/>
    <s v="Pneumonia"/>
    <s v="Matthew Cooper"/>
    <x v="0"/>
    <n v="60"/>
    <x v="3"/>
    <x v="2"/>
    <x v="2"/>
    <s v="Pneumonia Care"/>
    <n v="330"/>
    <n v="4"/>
    <x v="1"/>
    <x v="10"/>
  </r>
  <r>
    <x v="149"/>
    <x v="146"/>
    <s v="D02"/>
    <d v="2025-08-02T00:00:00"/>
    <d v="2025-08-06T00:00:00"/>
    <s v="Pneumonia"/>
    <s v="Matthew Cooper"/>
    <x v="0"/>
    <n v="60"/>
    <x v="3"/>
    <x v="1"/>
    <x v="1"/>
    <m/>
    <m/>
    <n v="4"/>
    <x v="1"/>
    <x v="7"/>
  </r>
  <r>
    <x v="150"/>
    <x v="147"/>
    <s v="D03"/>
    <d v="2025-09-19T00:00:00"/>
    <d v="2025-09-23T00:00:00"/>
    <s v="Chest Infection"/>
    <s v="Edward Hussain"/>
    <x v="0"/>
    <n v="22"/>
    <x v="5"/>
    <x v="2"/>
    <x v="2"/>
    <s v="Chest Infection Therapy"/>
    <n v="140"/>
    <n v="4"/>
    <x v="0"/>
    <x v="8"/>
  </r>
  <r>
    <x v="151"/>
    <x v="148"/>
    <s v="D03"/>
    <d v="2025-02-28T00:00:00"/>
    <d v="2025-03-04T00:00:00"/>
    <s v="Diabetes Check"/>
    <s v="Lily Begum"/>
    <x v="1"/>
    <n v="24"/>
    <x v="5"/>
    <x v="2"/>
    <x v="2"/>
    <s v="Diabetes Monitoring"/>
    <n v="160"/>
    <n v="4"/>
    <x v="0"/>
    <x v="1"/>
  </r>
  <r>
    <x v="152"/>
    <x v="149"/>
    <s v="D02"/>
    <d v="2025-05-14T00:00:00"/>
    <d v="2025-05-18T00:00:00"/>
    <s v="Asthma"/>
    <s v="Daniel Ahmed"/>
    <x v="0"/>
    <n v="27"/>
    <x v="5"/>
    <x v="1"/>
    <x v="1"/>
    <s v="Asthma Control"/>
    <n v="115"/>
    <n v="4"/>
    <x v="0"/>
    <x v="4"/>
  </r>
  <r>
    <x v="153"/>
    <x v="150"/>
    <s v="D03"/>
    <d v="2025-07-01T00:00:00"/>
    <d v="2025-07-05T00:00:00"/>
    <s v="Pneumonia"/>
    <s v="Samuel Chowdhury"/>
    <x v="0"/>
    <n v="48"/>
    <x v="5"/>
    <x v="2"/>
    <x v="2"/>
    <s v="Pneumonia Treatment"/>
    <n v="340"/>
    <n v="4"/>
    <x v="2"/>
    <x v="6"/>
  </r>
  <r>
    <x v="154"/>
    <x v="151"/>
    <s v="D04"/>
    <d v="2025-04-28T00:00:00"/>
    <d v="2025-05-02T00:00:00"/>
    <s v="Fracture"/>
    <s v="Thomas Karim"/>
    <x v="0"/>
    <n v="44"/>
    <x v="5"/>
    <x v="3"/>
    <x v="3"/>
    <s v="Fracture Casting"/>
    <n v="320"/>
    <n v="4"/>
    <x v="2"/>
    <x v="3"/>
  </r>
  <r>
    <x v="155"/>
    <x v="152"/>
    <s v="D05"/>
    <d v="2025-09-03T00:00:00"/>
    <d v="2025-09-07T00:00:00"/>
    <s v="Appendicitis"/>
    <s v="Joshua Ali"/>
    <x v="0"/>
    <n v="36"/>
    <x v="5"/>
    <x v="4"/>
    <x v="4"/>
    <s v="Appendicitis Surgery"/>
    <n v="1250"/>
    <n v="4"/>
    <x v="2"/>
    <x v="8"/>
  </r>
  <r>
    <x v="156"/>
    <x v="153"/>
    <s v="D04"/>
    <d v="2025-03-18T00:00:00"/>
    <d v="2025-03-21T00:00:00"/>
    <s v="Sprain"/>
    <s v="Isla Khan"/>
    <x v="1"/>
    <n v="12"/>
    <x v="5"/>
    <x v="3"/>
    <x v="3"/>
    <s v="Sprain Treatment"/>
    <n v="70"/>
    <n v="3"/>
    <x v="3"/>
    <x v="2"/>
  </r>
  <r>
    <x v="157"/>
    <x v="154"/>
    <s v="D05"/>
    <d v="2025-06-15T00:00:00"/>
    <d v="2025-06-19T00:00:00"/>
    <s v="Appendicitis"/>
    <s v="Michael Rahman"/>
    <x v="0"/>
    <n v="64"/>
    <x v="5"/>
    <x v="4"/>
    <x v="4"/>
    <s v="Surgical Appendectomy"/>
    <n v="1250"/>
    <n v="4"/>
    <x v="1"/>
    <x v="5"/>
  </r>
  <r>
    <x v="158"/>
    <x v="155"/>
    <s v="D03"/>
    <d v="2025-01-15T00:00:00"/>
    <d v="2025-01-19T00:00:00"/>
    <s v="Hypertension"/>
    <s v="Noah Ali"/>
    <x v="0"/>
    <n v="41"/>
    <x v="5"/>
    <x v="2"/>
    <x v="2"/>
    <s v="Blood Pressure Control"/>
    <n v="200"/>
    <n v="4"/>
    <x v="2"/>
    <x v="0"/>
  </r>
  <r>
    <x v="159"/>
    <x v="156"/>
    <s v="D02"/>
    <d v="2025-04-02T00:00:00"/>
    <d v="2025-04-06T00:00:00"/>
    <s v="Flu"/>
    <s v="Emily Uddin"/>
    <x v="1"/>
    <n v="28"/>
    <x v="5"/>
    <x v="1"/>
    <x v="1"/>
    <s v="Flu Medication"/>
    <n v="80"/>
    <n v="4"/>
    <x v="0"/>
    <x v="3"/>
  </r>
  <r>
    <x v="160"/>
    <x v="157"/>
    <s v="D05"/>
    <d v="2025-07-25T00:00:00"/>
    <d v="2025-07-29T00:00:00"/>
    <s v="Migraine"/>
    <s v="Harper Ahmed"/>
    <x v="1"/>
    <n v="15"/>
    <x v="5"/>
    <x v="4"/>
    <x v="4"/>
    <s v="Migraine Relief"/>
    <n v="95"/>
    <n v="4"/>
    <x v="3"/>
    <x v="6"/>
  </r>
  <r>
    <x v="161"/>
    <x v="158"/>
    <s v="D05"/>
    <d v="2025-03-11T00:00:00"/>
    <d v="2025-03-15T00:00:00"/>
    <s v="Hypertension"/>
    <s v="Sophia Edwards"/>
    <x v="1"/>
    <n v="36"/>
    <x v="3"/>
    <x v="4"/>
    <x v="4"/>
    <s v="Blood Pressure Control"/>
    <n v="200"/>
    <n v="4"/>
    <x v="2"/>
    <x v="2"/>
  </r>
  <r>
    <x v="161"/>
    <x v="158"/>
    <s v="D05"/>
    <d v="2025-03-11T00:00:00"/>
    <d v="2025-03-15T00:00:00"/>
    <s v="Hypertension"/>
    <s v="Sophia Edwards"/>
    <x v="1"/>
    <n v="36"/>
    <x v="3"/>
    <x v="4"/>
    <x v="4"/>
    <s v="Chest Antibiotics"/>
    <n v="210"/>
    <n v="4"/>
    <x v="2"/>
    <x v="2"/>
  </r>
  <r>
    <x v="162"/>
    <x v="158"/>
    <s v="D05"/>
    <d v="2025-02-10T00:00:00"/>
    <d v="2025-02-14T00:00:00"/>
    <s v="Migraine"/>
    <s v="Sophia Edwards"/>
    <x v="1"/>
    <n v="36"/>
    <x v="3"/>
    <x v="4"/>
    <x v="4"/>
    <s v="Pain Relief Therapy"/>
    <n v="60"/>
    <n v="4"/>
    <x v="2"/>
    <x v="1"/>
  </r>
  <r>
    <x v="163"/>
    <x v="159"/>
    <s v="D05"/>
    <d v="2025-08-27T00:00:00"/>
    <d v="2025-08-31T00:00:00"/>
    <s v="Appendicitis"/>
    <s v="Michael Hill"/>
    <x v="0"/>
    <n v="33"/>
    <x v="3"/>
    <x v="4"/>
    <x v="4"/>
    <s v="Surgical Appendectomy"/>
    <n v="1250"/>
    <n v="4"/>
    <x v="0"/>
    <x v="7"/>
  </r>
  <r>
    <x v="164"/>
    <x v="160"/>
    <s v="D02"/>
    <d v="2025-12-20T00:00:00"/>
    <d v="2025-12-24T00:00:00"/>
    <s v="Chest Infection"/>
    <s v="Sophie Long"/>
    <x v="1"/>
    <n v="34"/>
    <x v="3"/>
    <x v="1"/>
    <x v="1"/>
    <s v="Chest Infection Therapy"/>
    <n v="140"/>
    <n v="4"/>
    <x v="0"/>
    <x v="11"/>
  </r>
  <r>
    <x v="165"/>
    <x v="161"/>
    <s v="D01"/>
    <d v="2025-04-06T00:00:00"/>
    <d v="2025-04-10T00:00:00"/>
    <s v="Diabetes Check"/>
    <s v="Lily Turner"/>
    <x v="1"/>
    <n v="24"/>
    <x v="3"/>
    <x v="0"/>
    <x v="0"/>
    <s v="Insulin Adjustment"/>
    <n v="150"/>
    <n v="4"/>
    <x v="0"/>
    <x v="3"/>
  </r>
  <r>
    <x v="166"/>
    <x v="162"/>
    <s v="D04"/>
    <d v="2025-11-25T00:00:00"/>
    <d v="2025-11-29T00:00:00"/>
    <s v="Sprain"/>
    <s v="Lucy Kelly"/>
    <x v="1"/>
    <n v="11"/>
    <x v="3"/>
    <x v="3"/>
    <x v="3"/>
    <s v="Sprain Treatment"/>
    <n v="70"/>
    <n v="4"/>
    <x v="3"/>
    <x v="10"/>
  </r>
  <r>
    <x v="167"/>
    <x v="163"/>
    <s v="D01"/>
    <d v="2025-01-15T00:00:00"/>
    <d v="2025-01-19T00:00:00"/>
    <s v="Flu"/>
    <s v="Oliver Hughes"/>
    <x v="0"/>
    <n v="41"/>
    <x v="6"/>
    <x v="0"/>
    <x v="0"/>
    <s v="Antiviral Medication"/>
    <n v="85"/>
    <n v="4"/>
    <x v="2"/>
    <x v="0"/>
  </r>
  <r>
    <x v="168"/>
    <x v="164"/>
    <s v="D04"/>
    <d v="2025-04-28T00:00:00"/>
    <d v="2025-05-02T00:00:00"/>
    <s v="Fracture"/>
    <s v="Thomas Hill"/>
    <x v="0"/>
    <n v="44"/>
    <x v="6"/>
    <x v="3"/>
    <x v="3"/>
    <s v="Fracture Casting"/>
    <n v="320"/>
    <n v="4"/>
    <x v="2"/>
    <x v="3"/>
  </r>
  <r>
    <x v="169"/>
    <x v="165"/>
    <s v="D02"/>
    <d v="2025-08-18T00:00:00"/>
    <d v="2025-08-22T00:00:00"/>
    <s v="Sprain"/>
    <s v="Andrew Carter"/>
    <x v="0"/>
    <n v="43"/>
    <x v="6"/>
    <x v="1"/>
    <x v="1"/>
    <s v="Sprain Recovery Program"/>
    <n v="70"/>
    <n v="4"/>
    <x v="2"/>
    <x v="7"/>
  </r>
  <r>
    <x v="170"/>
    <x v="166"/>
    <s v="D02"/>
    <d v="2025-03-08T00:00:00"/>
    <d v="2025-03-12T00:00:00"/>
    <s v="Chest Infection"/>
    <s v="Henry Brooks"/>
    <x v="0"/>
    <n v="45"/>
    <x v="6"/>
    <x v="1"/>
    <x v="1"/>
    <s v="Chest Antibiotics"/>
    <n v="210"/>
    <n v="4"/>
    <x v="2"/>
    <x v="2"/>
  </r>
  <r>
    <x v="171"/>
    <x v="167"/>
    <s v="D05"/>
    <d v="2025-06-15T00:00:00"/>
    <d v="2025-06-19T00:00:00"/>
    <s v="Appendicitis"/>
    <s v="Michael Howard"/>
    <x v="0"/>
    <n v="64"/>
    <x v="6"/>
    <x v="4"/>
    <x v="4"/>
    <s v="Surgical Appendectomy"/>
    <n v="1250"/>
    <n v="4"/>
    <x v="1"/>
    <x v="5"/>
  </r>
  <r>
    <x v="172"/>
    <x v="168"/>
    <s v="D01"/>
    <d v="2025-04-10T00:00:00"/>
    <d v="2025-04-14T00:00:00"/>
    <s v="Hypertension"/>
    <s v="William Baker"/>
    <x v="0"/>
    <n v="50"/>
    <x v="6"/>
    <x v="0"/>
    <x v="0"/>
    <s v="Hypertension Medication"/>
    <n v="180"/>
    <n v="4"/>
    <x v="2"/>
    <x v="3"/>
  </r>
  <r>
    <x v="173"/>
    <x v="169"/>
    <s v="D04"/>
    <d v="2025-07-17T00:00:00"/>
    <d v="2025-07-21T00:00:00"/>
    <s v="Fracture"/>
    <s v="David Long"/>
    <x v="0"/>
    <n v="40"/>
    <x v="6"/>
    <x v="3"/>
    <x v="3"/>
    <s v="Fracture Rehab"/>
    <n v="310"/>
    <n v="4"/>
    <x v="2"/>
    <x v="6"/>
  </r>
  <r>
    <x v="174"/>
    <x v="170"/>
    <s v="D04"/>
    <d v="2025-02-03T00:00:00"/>
    <d v="2025-02-07T00:00:00"/>
    <s v="Fracture"/>
    <s v="George Ward"/>
    <x v="0"/>
    <n v="52"/>
    <x v="6"/>
    <x v="3"/>
    <x v="3"/>
    <s v="Orthopedic Surgery"/>
    <n v="1300"/>
    <n v="4"/>
    <x v="1"/>
    <x v="1"/>
  </r>
  <r>
    <x v="175"/>
    <x v="171"/>
    <s v="D03"/>
    <d v="2025-09-11T00:00:00"/>
    <d v="2025-09-15T00:00:00"/>
    <s v="Chest Infection"/>
    <s v="Victoria Allen"/>
    <x v="1"/>
    <n v="65"/>
    <x v="6"/>
    <x v="2"/>
    <x v="2"/>
    <m/>
    <m/>
    <n v="4"/>
    <x v="1"/>
    <x v="8"/>
  </r>
  <r>
    <x v="176"/>
    <x v="172"/>
    <s v="D03"/>
    <d v="2025-01-18T00:00:00"/>
    <d v="2025-01-22T00:00:00"/>
    <s v="Asthma"/>
    <s v="Olivia Bennett"/>
    <x v="1"/>
    <n v="29"/>
    <x v="3"/>
    <x v="2"/>
    <x v="2"/>
    <s v="Inhaler Therapy"/>
    <n v="120"/>
    <n v="4"/>
    <x v="0"/>
    <x v="0"/>
  </r>
  <r>
    <x v="177"/>
    <x v="173"/>
    <s v="D05"/>
    <d v="2025-03-25T00:00:00"/>
    <d v="2025-03-29T00:00:00"/>
    <s v="Appendicitis"/>
    <s v="Noah Parker"/>
    <x v="0"/>
    <n v="37"/>
    <x v="6"/>
    <x v="4"/>
    <x v="4"/>
    <s v="Appendectomy Surgery"/>
    <n v="1250"/>
    <n v="4"/>
    <x v="2"/>
    <x v="2"/>
  </r>
  <r>
    <x v="178"/>
    <x v="174"/>
    <s v="D03"/>
    <d v="2025-05-14T00:00:00"/>
    <d v="2025-05-18T00:00:00"/>
    <s v="Asthma"/>
    <s v="Daniel King"/>
    <x v="0"/>
    <n v="27"/>
    <x v="6"/>
    <x v="2"/>
    <x v="2"/>
    <s v="Asthma Control"/>
    <n v="115"/>
    <n v="4"/>
    <x v="0"/>
    <x v="4"/>
  </r>
  <r>
    <x v="179"/>
    <x v="175"/>
    <s v="D03"/>
    <d v="2025-08-02T00:00:00"/>
    <d v="2025-08-06T00:00:00"/>
    <s v="Pneumonia"/>
    <s v="Matthew Baker"/>
    <x v="0"/>
    <n v="58"/>
    <x v="6"/>
    <x v="2"/>
    <x v="2"/>
    <s v="Pneumonia Therapy"/>
    <n v="330"/>
    <n v="4"/>
    <x v="1"/>
    <x v="7"/>
  </r>
  <r>
    <x v="180"/>
    <x v="176"/>
    <s v="D01"/>
    <d v="2025-07-01T00:00:00"/>
    <d v="2025-07-05T00:00:00"/>
    <s v="Pneumonia"/>
    <s v="Samuel Cooper"/>
    <x v="0"/>
    <n v="48"/>
    <x v="6"/>
    <x v="0"/>
    <x v="0"/>
    <s v="Pneumonia Treatment"/>
    <n v="340"/>
    <n v="4"/>
    <x v="2"/>
    <x v="6"/>
  </r>
  <r>
    <x v="181"/>
    <x v="177"/>
    <s v="D03"/>
    <d v="2025-02-18T00:00:00"/>
    <d v="2025-02-22T00:00:00"/>
    <s v="Pneumonia"/>
    <s v="James Green"/>
    <x v="0"/>
    <n v="60"/>
    <x v="6"/>
    <x v="2"/>
    <x v="2"/>
    <s v="Pneumonia Antibiotics"/>
    <n v="340"/>
    <n v="4"/>
    <x v="1"/>
    <x v="1"/>
  </r>
  <r>
    <x v="182"/>
    <x v="178"/>
    <s v="D05"/>
    <d v="2025-09-03T00:00:00"/>
    <d v="2025-09-07T00:00:00"/>
    <s v="Hypertension"/>
    <s v="Joshua Wright"/>
    <x v="0"/>
    <n v="36"/>
    <x v="6"/>
    <x v="4"/>
    <x v="4"/>
    <s v="Hypertension Treatment"/>
    <n v="180"/>
    <n v="4"/>
    <x v="2"/>
    <x v="8"/>
  </r>
  <r>
    <x v="183"/>
    <x v="179"/>
    <s v="D02"/>
    <d v="2025-05-30T00:00:00"/>
    <d v="2025-06-03T00:00:00"/>
    <s v="Flu"/>
    <s v="Joseph Bailey"/>
    <x v="0"/>
    <n v="38"/>
    <x v="6"/>
    <x v="1"/>
    <x v="1"/>
    <s v="Flu Recovery Plan"/>
    <n v="70"/>
    <n v="4"/>
    <x v="2"/>
    <x v="4"/>
  </r>
  <r>
    <x v="184"/>
    <x v="180"/>
    <s v="D03"/>
    <d v="2025-01-08T00:00:00"/>
    <d v="2025-01-12T00:00:00"/>
    <s v="Asthma"/>
    <s v="Sophia Bennett"/>
    <x v="1"/>
    <n v="28"/>
    <x v="6"/>
    <x v="2"/>
    <x v="2"/>
    <s v="Inhaler Therapy"/>
    <n v="120"/>
    <n v="4"/>
    <x v="0"/>
    <x v="0"/>
  </r>
  <r>
    <x v="185"/>
    <x v="181"/>
    <s v="D02"/>
    <d v="2025-09-27T00:00:00"/>
    <d v="2025-10-01T00:00:00"/>
    <s v="Fracture"/>
    <s v="Freya Adams"/>
    <x v="1"/>
    <n v="30"/>
    <x v="6"/>
    <x v="1"/>
    <x v="1"/>
    <s v="Fracture Treatment"/>
    <n v="310"/>
    <n v="4"/>
    <x v="0"/>
    <x v="8"/>
  </r>
  <r>
    <x v="186"/>
    <x v="182"/>
    <s v="D03"/>
    <d v="2025-04-02T00:00:00"/>
    <d v="2025-04-06T00:00:00"/>
    <s v="Flu"/>
    <s v="Emily Scott"/>
    <x v="1"/>
    <n v="28"/>
    <x v="6"/>
    <x v="2"/>
    <x v="2"/>
    <s v="Flu Medication"/>
    <n v="80"/>
    <n v="4"/>
    <x v="0"/>
    <x v="3"/>
  </r>
  <r>
    <x v="187"/>
    <x v="183"/>
    <s v="D04"/>
    <d v="2025-10-05T00:00:00"/>
    <d v="2025-10-09T00:00:00"/>
    <s v="Migraine"/>
    <s v="Max Powell"/>
    <x v="0"/>
    <n v="47"/>
    <x v="6"/>
    <x v="3"/>
    <x v="3"/>
    <s v="Migraine Care"/>
    <n v="95"/>
    <n v="4"/>
    <x v="2"/>
    <x v="9"/>
  </r>
  <r>
    <x v="188"/>
    <x v="184"/>
    <s v="D04"/>
    <d v="2025-10-08T00:00:00"/>
    <d v="2025-10-12T00:00:00"/>
    <s v="Fracture"/>
    <s v="David Carter"/>
    <x v="0"/>
    <n v="44"/>
    <x v="3"/>
    <x v="3"/>
    <x v="3"/>
    <s v="Fracture Rehab"/>
    <n v="310"/>
    <n v="4"/>
    <x v="2"/>
    <x v="9"/>
  </r>
  <r>
    <x v="189"/>
    <x v="185"/>
    <s v="D05"/>
    <d v="2025-05-06T00:00:00"/>
    <d v="2025-05-10T00:00:00"/>
    <s v="Migraine"/>
    <s v="Grace Allen"/>
    <x v="1"/>
    <n v="31"/>
    <x v="6"/>
    <x v="4"/>
    <x v="4"/>
    <s v="Migraine Treatment"/>
    <n v="90"/>
    <n v="4"/>
    <x v="0"/>
    <x v="4"/>
  </r>
  <r>
    <x v="190"/>
    <x v="186"/>
    <s v="D03"/>
    <d v="2025-06-23T00:00:00"/>
    <d v="2025-06-27T00:00:00"/>
    <s v="Hypertension"/>
    <s v="Chloe Richardson"/>
    <x v="1"/>
    <n v="19"/>
    <x v="6"/>
    <x v="2"/>
    <x v="2"/>
    <s v="Blood Pressure Therapy"/>
    <n v="190"/>
    <n v="4"/>
    <x v="0"/>
    <x v="5"/>
  </r>
  <r>
    <x v="191"/>
    <x v="187"/>
    <s v="D01"/>
    <d v="2025-08-10T00:00:00"/>
    <d v="2025-08-14T00:00:00"/>
    <s v="Asthma"/>
    <s v="Sophie Hill"/>
    <x v="1"/>
    <n v="26"/>
    <x v="6"/>
    <x v="0"/>
    <x v="0"/>
    <s v="Asthma Management"/>
    <n v="115"/>
    <n v="4"/>
    <x v="0"/>
    <x v="7"/>
  </r>
  <r>
    <x v="192"/>
    <x v="188"/>
    <s v="D05"/>
    <d v="2025-02-10T00:00:00"/>
    <d v="2025-02-14T00:00:00"/>
    <s v="Hypertension"/>
    <s v="Mia Foster"/>
    <x v="1"/>
    <n v="33"/>
    <x v="6"/>
    <x v="4"/>
    <x v="4"/>
    <s v="Blood Pressure Control"/>
    <n v="200"/>
    <n v="4"/>
    <x v="0"/>
    <x v="1"/>
  </r>
  <r>
    <x v="193"/>
    <x v="189"/>
    <s v="D01"/>
    <d v="2025-09-19T00:00:00"/>
    <d v="2025-09-23T00:00:00"/>
    <s v="Flu"/>
    <s v="Edward King"/>
    <x v="0"/>
    <n v="22"/>
    <x v="6"/>
    <x v="0"/>
    <x v="0"/>
    <s v="Flu Treatment"/>
    <n v="85"/>
    <n v="4"/>
    <x v="0"/>
    <x v="8"/>
  </r>
  <r>
    <x v="194"/>
    <x v="190"/>
    <s v="D01"/>
    <d v="2025-05-22T00:00:00"/>
    <d v="2025-05-26T00:00:00"/>
    <s v="Chest Infection"/>
    <s v="Ella Murphy"/>
    <x v="1"/>
    <n v="55"/>
    <x v="6"/>
    <x v="0"/>
    <x v="0"/>
    <s v="Chest Infection Care"/>
    <n v="140"/>
    <n v="4"/>
    <x v="1"/>
    <x v="4"/>
  </r>
  <r>
    <x v="195"/>
    <x v="191"/>
    <s v="D02"/>
    <d v="2025-07-09T00:00:00"/>
    <d v="2025-07-13T00:00:00"/>
    <s v="Flu"/>
    <s v="Zoe James"/>
    <x v="1"/>
    <n v="34"/>
    <x v="6"/>
    <x v="1"/>
    <x v="1"/>
    <s v="Flu Care Plan"/>
    <n v="80"/>
    <n v="4"/>
    <x v="0"/>
    <x v="6"/>
  </r>
  <r>
    <x v="196"/>
    <x v="192"/>
    <s v="D01"/>
    <d v="2025-02-28T00:00:00"/>
    <d v="2025-03-04T00:00:00"/>
    <s v="Diabetes Check"/>
    <s v="Lily Turner"/>
    <x v="1"/>
    <n v="24"/>
    <x v="6"/>
    <x v="0"/>
    <x v="0"/>
    <s v="Diabetes Monitoring"/>
    <n v="160"/>
    <n v="4"/>
    <x v="0"/>
    <x v="1"/>
  </r>
  <r>
    <x v="197"/>
    <x v="193"/>
    <s v="D02"/>
    <d v="2025-04-18T00:00:00"/>
    <d v="2025-04-22T00:00:00"/>
    <s v="Pneumonia"/>
    <s v="Charlotte Evans"/>
    <x v="1"/>
    <n v="16"/>
    <x v="6"/>
    <x v="1"/>
    <x v="1"/>
    <s v="Pneumonia Care"/>
    <n v="330"/>
    <n v="4"/>
    <x v="3"/>
    <x v="3"/>
  </r>
  <r>
    <x v="198"/>
    <x v="194"/>
    <s v="D05"/>
    <d v="2025-07-25T00:00:00"/>
    <d v="2025-07-29T00:00:00"/>
    <s v="Migraine"/>
    <s v="Harper Green"/>
    <x v="1"/>
    <n v="15"/>
    <x v="6"/>
    <x v="4"/>
    <x v="4"/>
    <s v="Migraine Relief"/>
    <n v="95"/>
    <n v="4"/>
    <x v="3"/>
    <x v="6"/>
  </r>
  <r>
    <x v="199"/>
    <x v="195"/>
    <s v="D02"/>
    <d v="2025-01-25T00:00:00"/>
    <d v="2025-01-29T00:00:00"/>
    <s v="Migraine"/>
    <s v="Amelia Clarke"/>
    <x v="1"/>
    <n v="19"/>
    <x v="6"/>
    <x v="1"/>
    <x v="1"/>
    <s v="Pain Relief Therapy"/>
    <n v="60"/>
    <n v="4"/>
    <x v="0"/>
    <x v="0"/>
  </r>
  <r>
    <x v="200"/>
    <x v="196"/>
    <s v="D04"/>
    <d v="2025-08-26T00:00:00"/>
    <d v="2025-08-30T00:00:00"/>
    <s v="Appendicitis"/>
    <s v="Lucy Nelson"/>
    <x v="1"/>
    <n v="11"/>
    <x v="6"/>
    <x v="3"/>
    <x v="3"/>
    <m/>
    <m/>
    <n v="4"/>
    <x v="3"/>
    <x v="7"/>
  </r>
  <r>
    <x v="201"/>
    <x v="197"/>
    <s v="D04"/>
    <d v="2025-06-07T00:00:00"/>
    <d v="2025-06-11T00:00:00"/>
    <s v="Sprain"/>
    <s v="Aria Kelly"/>
    <x v="1"/>
    <n v="21"/>
    <x v="6"/>
    <x v="3"/>
    <x v="3"/>
    <s v="Sprain Recovery"/>
    <n v="70"/>
    <n v="4"/>
    <x v="0"/>
    <x v="5"/>
  </r>
  <r>
    <x v="202"/>
    <x v="198"/>
    <s v="D04"/>
    <d v="2025-03-18T00:00:00"/>
    <d v="2025-03-21T00:00:00"/>
    <s v="Sprain"/>
    <s v="Isla Reed"/>
    <x v="1"/>
    <n v="12"/>
    <x v="6"/>
    <x v="3"/>
    <x v="3"/>
    <s v="Sprain Treatment"/>
    <n v="70"/>
    <n v="3"/>
    <x v="3"/>
    <x v="2"/>
  </r>
  <r>
    <x v="203"/>
    <x v="199"/>
    <s v="D01"/>
    <d v="2025-05-28T00:00:00"/>
    <d v="2025-06-01T00:00:00"/>
    <s v="Flu"/>
    <s v="Jack Brown"/>
    <x v="0"/>
    <n v="19"/>
    <x v="3"/>
    <x v="0"/>
    <x v="0"/>
    <s v="Flu Medication"/>
    <n v="80"/>
    <n v="4"/>
    <x v="0"/>
    <x v="4"/>
  </r>
  <r>
    <x v="204"/>
    <x v="200"/>
    <s v="D02"/>
    <d v="2025-08-03T00:00:00"/>
    <d v="2025-08-07T00:00:00"/>
    <s v="Flu"/>
    <s v="Joseph King"/>
    <x v="0"/>
    <n v="48"/>
    <x v="3"/>
    <x v="1"/>
    <x v="1"/>
    <s v="Flu Recovery Plan"/>
    <n v="70"/>
    <n v="4"/>
    <x v="2"/>
    <x v="7"/>
  </r>
  <r>
    <x v="205"/>
    <x v="201"/>
    <s v="D01"/>
    <d v="2025-11-10T00:00:00"/>
    <d v="2025-11-14T00:00:00"/>
    <s v="Flu"/>
    <s v="Zoe Richardson"/>
    <x v="1"/>
    <n v="30"/>
    <x v="3"/>
    <x v="0"/>
    <x v="0"/>
    <s v="Flu Care Plan"/>
    <n v="80"/>
    <n v="4"/>
    <x v="0"/>
    <x v="10"/>
  </r>
  <r>
    <x v="206"/>
    <x v="202"/>
    <s v="D02"/>
    <d v="2025-04-15T00:00:00"/>
    <d v="2025-04-19T00:00:00"/>
    <s v="Chest Infection"/>
    <s v="Henry Adams"/>
    <x v="0"/>
    <n v="45"/>
    <x v="3"/>
    <x v="1"/>
    <x v="1"/>
    <s v="Chest Antibiotics"/>
    <n v="210"/>
    <n v="4"/>
    <x v="2"/>
    <x v="3"/>
  </r>
  <r>
    <x v="207"/>
    <x v="203"/>
    <s v="D02"/>
    <d v="2025-02-24T00:00:00"/>
    <d v="2025-02-28T00:00:00"/>
    <s v="Pneumonia"/>
    <s v="Mia Turner"/>
    <x v="1"/>
    <n v="33"/>
    <x v="7"/>
    <x v="1"/>
    <x v="1"/>
    <s v="Pneumonia Antibiotics"/>
    <n v="340"/>
    <n v="4"/>
    <x v="0"/>
    <x v="1"/>
  </r>
  <r>
    <x v="208"/>
    <x v="204"/>
    <s v="D02"/>
    <d v="2025-07-09T00:00:00"/>
    <d v="2025-07-13T00:00:00"/>
    <s v="Hypertension"/>
    <s v="Alexander Hill"/>
    <x v="0"/>
    <n v="55"/>
    <x v="7"/>
    <x v="1"/>
    <x v="1"/>
    <s v="Blood Pressure Therapy"/>
    <n v="190"/>
    <n v="4"/>
    <x v="1"/>
    <x v="6"/>
  </r>
  <r>
    <x v="209"/>
    <x v="205"/>
    <s v="D03"/>
    <d v="2025-01-18T00:00:00"/>
    <d v="2025-01-22T00:00:00"/>
    <s v="Hypertension"/>
    <s v="Sophia Bennett"/>
    <x v="1"/>
    <n v="28"/>
    <x v="7"/>
    <x v="2"/>
    <x v="2"/>
    <s v="Blood Pressure Control"/>
    <n v="200"/>
    <n v="4"/>
    <x v="0"/>
    <x v="0"/>
  </r>
  <r>
    <x v="210"/>
    <x v="206"/>
    <s v="D04"/>
    <d v="2025-05-07T00:00:00"/>
    <d v="2025-05-11T00:00:00"/>
    <s v="Fracture"/>
    <s v="Amelia Hall"/>
    <x v="1"/>
    <n v="16"/>
    <x v="7"/>
    <x v="3"/>
    <x v="3"/>
    <m/>
    <m/>
    <n v="4"/>
    <x v="3"/>
    <x v="4"/>
  </r>
  <r>
    <x v="211"/>
    <x v="207"/>
    <s v="D02"/>
    <d v="2025-08-23T00:00:00"/>
    <d v="2025-08-27T00:00:00"/>
    <s v="Pneumonia"/>
    <s v="Charlotte Ward"/>
    <x v="1"/>
    <n v="36"/>
    <x v="7"/>
    <x v="1"/>
    <x v="1"/>
    <s v="Pneumonia Therapy"/>
    <n v="330"/>
    <n v="4"/>
    <x v="2"/>
    <x v="7"/>
  </r>
  <r>
    <x v="212"/>
    <x v="208"/>
    <s v="D01"/>
    <d v="2025-06-12T00:00:00"/>
    <d v="2025-06-16T00:00:00"/>
    <s v="Flu"/>
    <s v="Isabella Green"/>
    <x v="1"/>
    <n v="45"/>
    <x v="7"/>
    <x v="0"/>
    <x v="0"/>
    <s v="Flu Recovery Plan"/>
    <n v="70"/>
    <n v="4"/>
    <x v="2"/>
    <x v="5"/>
  </r>
  <r>
    <x v="213"/>
    <x v="209"/>
    <s v="D01"/>
    <d v="2025-03-14T00:00:00"/>
    <d v="2025-03-18T00:00:00"/>
    <s v="Chest Infection"/>
    <s v="Emily Scott"/>
    <x v="1"/>
    <n v="25"/>
    <x v="7"/>
    <x v="0"/>
    <x v="0"/>
    <s v="Chest Antibiotics"/>
    <n v="210"/>
    <n v="4"/>
    <x v="0"/>
    <x v="2"/>
  </r>
  <r>
    <x v="214"/>
    <x v="210"/>
    <s v="D05"/>
    <d v="2025-07-02T00:00:00"/>
    <d v="2025-07-06T00:00:00"/>
    <s v="Migraine"/>
    <s v="Mia Hall"/>
    <x v="1"/>
    <n v="40"/>
    <x v="3"/>
    <x v="4"/>
    <x v="4"/>
    <s v="Migraine Treatment"/>
    <n v="90"/>
    <n v="4"/>
    <x v="2"/>
    <x v="6"/>
  </r>
  <r>
    <x v="215"/>
    <x v="211"/>
    <s v="D04"/>
    <d v="2025-02-06T00:00:00"/>
    <d v="2025-02-10T00:00:00"/>
    <s v="Fracture"/>
    <s v="Amelia Clark"/>
    <x v="1"/>
    <n v="19"/>
    <x v="7"/>
    <x v="3"/>
    <x v="3"/>
    <s v="Orthopedic Surgery"/>
    <n v="1300"/>
    <n v="4"/>
    <x v="0"/>
    <x v="1"/>
  </r>
  <r>
    <x v="216"/>
    <x v="212"/>
    <s v="D02"/>
    <d v="2025-05-25T00:00:00"/>
    <d v="2025-05-29T00:00:00"/>
    <s v="Asthma"/>
    <s v="Grace King"/>
    <x v="1"/>
    <n v="38"/>
    <x v="7"/>
    <x v="1"/>
    <x v="1"/>
    <s v="Asthma Control"/>
    <n v="115"/>
    <n v="4"/>
    <x v="2"/>
    <x v="4"/>
  </r>
  <r>
    <x v="217"/>
    <x v="213"/>
    <s v="D04"/>
    <d v="2025-08-05T00:00:00"/>
    <d v="2025-08-09T00:00:00"/>
    <s v="Fracture"/>
    <s v="Harper Collins"/>
    <x v="1"/>
    <n v="18"/>
    <x v="7"/>
    <x v="3"/>
    <x v="3"/>
    <s v="Fracture Rehab"/>
    <n v="310"/>
    <n v="4"/>
    <x v="3"/>
    <x v="7"/>
  </r>
  <r>
    <x v="218"/>
    <x v="214"/>
    <s v="D03"/>
    <d v="2025-04-19T00:00:00"/>
    <d v="2025-04-23T00:00:00"/>
    <s v="Hypertension"/>
    <s v="Lily Johnson"/>
    <x v="1"/>
    <n v="29"/>
    <x v="7"/>
    <x v="2"/>
    <x v="2"/>
    <s v="Hypertension Medication"/>
    <n v="180"/>
    <n v="4"/>
    <x v="0"/>
    <x v="3"/>
  </r>
  <r>
    <x v="219"/>
    <x v="215"/>
    <s v="D05"/>
    <d v="2025-06-30T00:00:00"/>
    <d v="2025-07-04T00:00:00"/>
    <s v="Appendicitis"/>
    <s v="Sophia Turner"/>
    <x v="1"/>
    <n v="22"/>
    <x v="7"/>
    <x v="4"/>
    <x v="4"/>
    <s v="Surgical Appendectomy"/>
    <n v="1250"/>
    <n v="4"/>
    <x v="0"/>
    <x v="5"/>
  </r>
  <r>
    <x v="220"/>
    <x v="216"/>
    <s v="D05"/>
    <d v="2025-02-15T00:00:00"/>
    <d v="2025-02-19T00:00:00"/>
    <s v="Migraine"/>
    <s v="Daniel Wood"/>
    <x v="0"/>
    <n v="41"/>
    <x v="7"/>
    <x v="4"/>
    <x v="4"/>
    <s v="Pain Relief Therapy"/>
    <n v="60"/>
    <n v="4"/>
    <x v="2"/>
    <x v="1"/>
  </r>
  <r>
    <x v="221"/>
    <x v="217"/>
    <s v="D02"/>
    <d v="2025-01-09T00:00:00"/>
    <d v="2025-01-13T00:00:00"/>
    <s v="Flu"/>
    <s v="Oliver Price"/>
    <x v="0"/>
    <n v="34"/>
    <x v="7"/>
    <x v="1"/>
    <x v="1"/>
    <s v="Antiviral Medication"/>
    <n v="85"/>
    <n v="4"/>
    <x v="0"/>
    <x v="0"/>
  </r>
  <r>
    <x v="222"/>
    <x v="218"/>
    <s v="D01"/>
    <d v="2025-07-27T00:00:00"/>
    <d v="2025-07-31T00:00:00"/>
    <s v="Diabetes Check"/>
    <s v="Michael Evans"/>
    <x v="0"/>
    <n v="48"/>
    <x v="7"/>
    <x v="0"/>
    <x v="0"/>
    <s v="Diabetes Care Plan"/>
    <n v="160"/>
    <n v="4"/>
    <x v="2"/>
    <x v="6"/>
  </r>
  <r>
    <x v="223"/>
    <x v="219"/>
    <s v="D03"/>
    <d v="2025-06-03T00:00:00"/>
    <d v="2025-06-07T00:00:00"/>
    <s v="Chest Infection"/>
    <s v="James Wright"/>
    <x v="0"/>
    <n v="27"/>
    <x v="7"/>
    <x v="2"/>
    <x v="2"/>
    <s v="Chest Infection Care"/>
    <n v="140"/>
    <n v="4"/>
    <x v="0"/>
    <x v="5"/>
  </r>
  <r>
    <x v="224"/>
    <x v="220"/>
    <s v="D02"/>
    <d v="2025-04-10T00:00:00"/>
    <d v="2025-04-14T00:00:00"/>
    <s v="Flu"/>
    <s v="Noah White"/>
    <x v="0"/>
    <n v="37"/>
    <x v="7"/>
    <x v="1"/>
    <x v="1"/>
    <s v="Flu Medication"/>
    <n v="80"/>
    <n v="4"/>
    <x v="2"/>
    <x v="3"/>
  </r>
  <r>
    <x v="225"/>
    <x v="221"/>
    <s v="D03"/>
    <d v="2025-09-01T00:00:00"/>
    <d v="2025-09-05T00:00:00"/>
    <s v="Flu"/>
    <s v="Henry Cooper"/>
    <x v="0"/>
    <n v="43"/>
    <x v="7"/>
    <x v="2"/>
    <x v="2"/>
    <s v="Flu Care Plan"/>
    <n v="80"/>
    <n v="4"/>
    <x v="2"/>
    <x v="8"/>
  </r>
  <r>
    <x v="226"/>
    <x v="222"/>
    <s v="D03"/>
    <d v="2025-07-18T00:00:00"/>
    <d v="2025-07-22T00:00:00"/>
    <s v="Pneumonia"/>
    <s v="Ella Carter"/>
    <x v="1"/>
    <n v="40"/>
    <x v="7"/>
    <x v="2"/>
    <x v="2"/>
    <s v="Pneumonia Treatment"/>
    <n v="340"/>
    <n v="4"/>
    <x v="2"/>
    <x v="6"/>
  </r>
  <r>
    <x v="227"/>
    <x v="223"/>
    <s v="D03"/>
    <d v="2025-03-05T00:00:00"/>
    <d v="2025-03-09T00:00:00"/>
    <s v="Diabetes Check"/>
    <s v="Thomas Green"/>
    <x v="0"/>
    <n v="60"/>
    <x v="7"/>
    <x v="2"/>
    <x v="2"/>
    <s v="Diabetes Monitoring"/>
    <n v="160"/>
    <n v="4"/>
    <x v="1"/>
    <x v="2"/>
  </r>
  <r>
    <x v="228"/>
    <x v="224"/>
    <s v="D01"/>
    <d v="2025-01-28T00:00:00"/>
    <d v="2025-02-01T00:00:00"/>
    <s v="Asthma"/>
    <s v="George Harris"/>
    <x v="0"/>
    <n v="52"/>
    <x v="7"/>
    <x v="0"/>
    <x v="0"/>
    <s v="Inhaler Therapy"/>
    <n v="120"/>
    <n v="4"/>
    <x v="1"/>
    <x v="0"/>
  </r>
  <r>
    <x v="229"/>
    <x v="225"/>
    <s v="D01"/>
    <d v="2025-04-28T00:00:00"/>
    <d v="2025-05-02T00:00:00"/>
    <s v="Pneumonia"/>
    <s v="Harry Walker"/>
    <x v="0"/>
    <n v="50"/>
    <x v="7"/>
    <x v="0"/>
    <x v="0"/>
    <s v="Pneumonia Care"/>
    <n v="330"/>
    <n v="4"/>
    <x v="2"/>
    <x v="3"/>
  </r>
  <r>
    <x v="230"/>
    <x v="226"/>
    <s v="D04"/>
    <d v="2025-06-21T00:00:00"/>
    <d v="2025-06-25T00:00:00"/>
    <s v="Sprain"/>
    <s v="William Baker"/>
    <x v="0"/>
    <n v="31"/>
    <x v="7"/>
    <x v="3"/>
    <x v="3"/>
    <s v="Sprain Recovery"/>
    <n v="70"/>
    <n v="4"/>
    <x v="0"/>
    <x v="5"/>
  </r>
  <r>
    <x v="231"/>
    <x v="227"/>
    <s v="D02"/>
    <d v="2025-09-30T00:00:00"/>
    <d v="2025-10-04T00:00:00"/>
    <s v="Gastroenteritis"/>
    <s v="Ella Nelson"/>
    <x v="1"/>
    <n v="37"/>
    <x v="3"/>
    <x v="1"/>
    <x v="1"/>
    <s v="Gastroenteritis Treatment"/>
    <n v="110"/>
    <n v="4"/>
    <x v="2"/>
    <x v="8"/>
  </r>
  <r>
    <x v="232"/>
    <x v="228"/>
    <s v="D04"/>
    <d v="2025-03-23T00:00:00"/>
    <d v="2025-03-26T00:00:00"/>
    <s v="Sprain"/>
    <s v="Jacob Lewis"/>
    <x v="0"/>
    <n v="12"/>
    <x v="7"/>
    <x v="3"/>
    <x v="3"/>
    <s v="Sprain Treatment"/>
    <n v="70"/>
    <n v="3"/>
    <x v="3"/>
    <x v="2"/>
  </r>
  <r>
    <x v="233"/>
    <x v="229"/>
    <s v="D05"/>
    <d v="2025-08-14T00:00:00"/>
    <d v="2025-08-18T00:00:00"/>
    <s v="Migraine"/>
    <s v="Leo Murphy"/>
    <x v="0"/>
    <n v="9"/>
    <x v="7"/>
    <x v="4"/>
    <x v="4"/>
    <s v="Migraine Relief"/>
    <n v="95"/>
    <n v="4"/>
    <x v="3"/>
    <x v="7"/>
  </r>
  <r>
    <x v="234"/>
    <x v="230"/>
    <s v="D05"/>
    <d v="2025-05-16T00:00:00"/>
    <d v="2025-05-20T00:00:00"/>
    <s v="Migraine"/>
    <s v="Oscar Young"/>
    <x v="0"/>
    <n v="61"/>
    <x v="7"/>
    <x v="4"/>
    <x v="4"/>
    <s v="Migraine Treatment"/>
    <n v="90"/>
    <n v="4"/>
    <x v="1"/>
    <x v="4"/>
  </r>
  <r>
    <x v="235"/>
    <x v="231"/>
    <s v="D04"/>
    <d v="2025-12-26T00:00:00"/>
    <d v="2025-12-30T00:00:00"/>
    <s v="Fracture"/>
    <s v="Max Perry"/>
    <x v="0"/>
    <n v="47"/>
    <x v="3"/>
    <x v="3"/>
    <x v="3"/>
    <s v="Fracture Treatment"/>
    <n v="310"/>
    <n v="4"/>
    <x v="2"/>
    <x v="11"/>
  </r>
  <r>
    <x v="236"/>
    <x v="232"/>
    <s v="D03"/>
    <d v="2025-05-17T00:00:00"/>
    <d v="2025-05-21T00:00:00"/>
    <s v="Hypertension"/>
    <s v="Emily Ward"/>
    <x v="1"/>
    <n v="31"/>
    <x v="3"/>
    <x v="2"/>
    <x v="2"/>
    <s v="Hypertension Medication"/>
    <n v="180"/>
    <n v="4"/>
    <x v="0"/>
    <x v="4"/>
  </r>
  <r>
    <x v="237"/>
    <x v="233"/>
    <s v="D03"/>
    <d v="2025-01-14T00:00:00"/>
    <d v="2025-01-18T00:00:00"/>
    <s v="Hypertension"/>
    <s v="Sophia Bennett"/>
    <x v="1"/>
    <n v="28"/>
    <x v="8"/>
    <x v="2"/>
    <x v="2"/>
    <s v="Blood Pressure Control"/>
    <n v="200"/>
    <n v="4"/>
    <x v="0"/>
    <x v="0"/>
  </r>
  <r>
    <x v="238"/>
    <x v="234"/>
    <s v="D02"/>
    <d v="2025-06-15T00:00:00"/>
    <d v="2025-06-19T00:00:00"/>
    <s v="Hypertension"/>
    <s v="Alexander Hill"/>
    <x v="0"/>
    <n v="55"/>
    <x v="8"/>
    <x v="1"/>
    <x v="1"/>
    <s v="Blood Pressure Therapy"/>
    <n v="190"/>
    <n v="4"/>
    <x v="1"/>
    <x v="5"/>
  </r>
  <r>
    <x v="239"/>
    <x v="235"/>
    <s v="D04"/>
    <d v="2025-04-20T00:00:00"/>
    <d v="2025-04-24T00:00:00"/>
    <s v="Fracture"/>
    <s v="Amelia Hall"/>
    <x v="1"/>
    <n v="16"/>
    <x v="8"/>
    <x v="3"/>
    <x v="3"/>
    <s v="Fracture Casting"/>
    <n v="320"/>
    <n v="4"/>
    <x v="3"/>
    <x v="3"/>
  </r>
  <r>
    <x v="240"/>
    <x v="236"/>
    <s v="D02"/>
    <d v="2025-02-15T00:00:00"/>
    <d v="2025-02-19T00:00:00"/>
    <s v="Pneumonia"/>
    <s v="Mia Turner"/>
    <x v="1"/>
    <n v="33"/>
    <x v="8"/>
    <x v="1"/>
    <x v="1"/>
    <s v="Pneumonia Antibiotics"/>
    <n v="340"/>
    <n v="4"/>
    <x v="0"/>
    <x v="1"/>
  </r>
  <r>
    <x v="241"/>
    <x v="237"/>
    <s v="D05"/>
    <d v="2025-03-19T00:00:00"/>
    <d v="2025-03-23T00:00:00"/>
    <s v="Appendicitis"/>
    <s v="Chloe Adams"/>
    <x v="1"/>
    <n v="44"/>
    <x v="8"/>
    <x v="4"/>
    <x v="4"/>
    <s v="Appendectomy Surgery"/>
    <n v="1250"/>
    <n v="4"/>
    <x v="2"/>
    <x v="2"/>
  </r>
  <r>
    <x v="242"/>
    <x v="238"/>
    <s v="D01"/>
    <d v="2025-05-22T00:00:00"/>
    <d v="2025-05-26T00:00:00"/>
    <s v="Flu"/>
    <s v="Isabella Green"/>
    <x v="1"/>
    <n v="45"/>
    <x v="8"/>
    <x v="0"/>
    <x v="0"/>
    <s v="Flu Recovery Plan"/>
    <n v="70"/>
    <n v="4"/>
    <x v="2"/>
    <x v="4"/>
  </r>
  <r>
    <x v="243"/>
    <x v="239"/>
    <s v="D04"/>
    <d v="2025-01-30T00:00:00"/>
    <d v="2025-02-03T00:00:00"/>
    <s v="Fracture"/>
    <s v="Amelia Brooks"/>
    <x v="1"/>
    <n v="19"/>
    <x v="8"/>
    <x v="3"/>
    <x v="3"/>
    <s v="Orthopedic Surgery"/>
    <n v="1300"/>
    <n v="4"/>
    <x v="0"/>
    <x v="0"/>
  </r>
  <r>
    <x v="244"/>
    <x v="240"/>
    <s v="D01"/>
    <d v="2025-03-03T00:00:00"/>
    <d v="2025-03-07T00:00:00"/>
    <s v="Chest Infection"/>
    <s v="Emily Scott"/>
    <x v="1"/>
    <n v="25"/>
    <x v="8"/>
    <x v="0"/>
    <x v="0"/>
    <s v="Chest Antibiotics"/>
    <n v="210"/>
    <n v="4"/>
    <x v="0"/>
    <x v="2"/>
  </r>
  <r>
    <x v="245"/>
    <x v="241"/>
    <s v="D02"/>
    <d v="2025-05-06T00:00:00"/>
    <d v="2025-05-10T00:00:00"/>
    <s v="Asthma"/>
    <s v="Grace King"/>
    <x v="1"/>
    <n v="38"/>
    <x v="8"/>
    <x v="1"/>
    <x v="1"/>
    <s v="Asthma Control"/>
    <n v="115"/>
    <n v="4"/>
    <x v="2"/>
    <x v="4"/>
  </r>
  <r>
    <x v="246"/>
    <x v="242"/>
    <s v="D04"/>
    <d v="2025-07-09T00:00:00"/>
    <d v="2025-07-13T00:00:00"/>
    <s v="Fracture"/>
    <s v="Harper Collins"/>
    <x v="1"/>
    <n v="18"/>
    <x v="8"/>
    <x v="3"/>
    <x v="3"/>
    <s v="Fracture Rehab"/>
    <n v="310"/>
    <n v="4"/>
    <x v="3"/>
    <x v="6"/>
  </r>
  <r>
    <x v="247"/>
    <x v="243"/>
    <s v="D03"/>
    <d v="2025-04-04T00:00:00"/>
    <d v="2025-04-08T00:00:00"/>
    <s v="Hypertension"/>
    <s v="Lily Johnson"/>
    <x v="1"/>
    <n v="29"/>
    <x v="8"/>
    <x v="2"/>
    <x v="2"/>
    <s v="Hypertension Medication"/>
    <n v="180"/>
    <n v="4"/>
    <x v="0"/>
    <x v="3"/>
  </r>
  <r>
    <x v="248"/>
    <x v="244"/>
    <s v="D05"/>
    <d v="2025-06-07T00:00:00"/>
    <d v="2025-06-11T00:00:00"/>
    <s v="Appendicitis"/>
    <s v="Sophia Turner"/>
    <x v="1"/>
    <n v="22"/>
    <x v="8"/>
    <x v="4"/>
    <x v="4"/>
    <s v="Surgical Appendectomy"/>
    <n v="1250"/>
    <n v="4"/>
    <x v="0"/>
    <x v="5"/>
  </r>
  <r>
    <x v="249"/>
    <x v="245"/>
    <s v="D05"/>
    <d v="2025-12-02T00:00:00"/>
    <d v="2025-12-06T00:00:00"/>
    <s v="Appendicitis"/>
    <s v="Joshua Howard"/>
    <x v="0"/>
    <n v="39"/>
    <x v="3"/>
    <x v="4"/>
    <x v="4"/>
    <s v="Appendix Surgery"/>
    <n v="1250"/>
    <n v="4"/>
    <x v="2"/>
    <x v="11"/>
  </r>
  <r>
    <x v="250"/>
    <x v="246"/>
    <s v="D05"/>
    <d v="2025-02-07T00:00:00"/>
    <d v="2025-02-11T00:00:00"/>
    <s v="Migraine"/>
    <s v="Daniel Wood"/>
    <x v="0"/>
    <n v="41"/>
    <x v="8"/>
    <x v="4"/>
    <x v="4"/>
    <s v="Pain Relief Therapy"/>
    <n v="60"/>
    <n v="4"/>
    <x v="2"/>
    <x v="1"/>
  </r>
  <r>
    <x v="251"/>
    <x v="246"/>
    <s v="D01"/>
    <d v="2025-07-01T00:00:00"/>
    <d v="2025-07-05T00:00:00"/>
    <s v="Diabetes Check"/>
    <s v="Daniel Wood"/>
    <x v="0"/>
    <n v="41"/>
    <x v="8"/>
    <x v="0"/>
    <x v="0"/>
    <s v="Diabetes Care Plan"/>
    <n v="160"/>
    <n v="4"/>
    <x v="2"/>
    <x v="6"/>
  </r>
  <r>
    <x v="252"/>
    <x v="247"/>
    <s v="D03"/>
    <d v="2025-05-14T00:00:00"/>
    <d v="2025-05-18T00:00:00"/>
    <s v="Chest Infection"/>
    <s v="James Wright"/>
    <x v="0"/>
    <n v="27"/>
    <x v="8"/>
    <x v="2"/>
    <x v="2"/>
    <s v="Chest Infection Care"/>
    <n v="140"/>
    <n v="4"/>
    <x v="0"/>
    <x v="4"/>
  </r>
  <r>
    <x v="253"/>
    <x v="248"/>
    <s v="D02"/>
    <d v="2025-03-27T00:00:00"/>
    <d v="2025-03-31T00:00:00"/>
    <s v="Flu"/>
    <s v="Noah White"/>
    <x v="0"/>
    <n v="37"/>
    <x v="8"/>
    <x v="1"/>
    <x v="1"/>
    <s v="Flu Medication"/>
    <n v="80"/>
    <n v="4"/>
    <x v="2"/>
    <x v="2"/>
  </r>
  <r>
    <x v="254"/>
    <x v="249"/>
    <s v="D04"/>
    <d v="2025-03-02T00:00:00"/>
    <d v="2025-03-07T00:00:00"/>
    <s v="Fracture"/>
    <s v="Noah Mitchell"/>
    <x v="0"/>
    <n v="53"/>
    <x v="3"/>
    <x v="3"/>
    <x v="3"/>
    <s v="Orthopedic Surgery"/>
    <n v="1300"/>
    <n v="5"/>
    <x v="1"/>
    <x v="2"/>
  </r>
  <r>
    <x v="255"/>
    <x v="250"/>
    <s v="D02"/>
    <d v="2025-01-06T00:00:00"/>
    <d v="2025-01-10T00:00:00"/>
    <s v="Flu"/>
    <s v="Oliver Hayes"/>
    <x v="0"/>
    <n v="34"/>
    <x v="8"/>
    <x v="1"/>
    <x v="1"/>
    <m/>
    <m/>
    <n v="4"/>
    <x v="0"/>
    <x v="0"/>
  </r>
  <r>
    <x v="256"/>
    <x v="251"/>
    <s v="D03"/>
    <d v="2025-06-23T00:00:00"/>
    <d v="2025-06-27T00:00:00"/>
    <s v="Pneumonia"/>
    <s v="Ella Carter"/>
    <x v="1"/>
    <n v="40"/>
    <x v="8"/>
    <x v="2"/>
    <x v="2"/>
    <s v="Pneumonia Treatment"/>
    <n v="340"/>
    <n v="4"/>
    <x v="2"/>
    <x v="5"/>
  </r>
  <r>
    <x v="257"/>
    <x v="252"/>
    <s v="D03"/>
    <d v="2025-02-23T00:00:00"/>
    <d v="2025-02-27T00:00:00"/>
    <s v="Diabetes Check"/>
    <s v="Thomas Green"/>
    <x v="0"/>
    <n v="60"/>
    <x v="8"/>
    <x v="2"/>
    <x v="2"/>
    <s v="Diabetes Monitoring"/>
    <n v="160"/>
    <n v="4"/>
    <x v="1"/>
    <x v="1"/>
  </r>
  <r>
    <x v="258"/>
    <x v="253"/>
    <s v="D01"/>
    <d v="2025-04-12T00:00:00"/>
    <d v="2025-04-16T00:00:00"/>
    <s v="Pneumonia"/>
    <s v="Harry Walker"/>
    <x v="0"/>
    <n v="50"/>
    <x v="8"/>
    <x v="0"/>
    <x v="0"/>
    <s v="Pneumonia Care"/>
    <n v="330"/>
    <n v="4"/>
    <x v="2"/>
    <x v="3"/>
  </r>
  <r>
    <x v="259"/>
    <x v="254"/>
    <s v="D04"/>
    <d v="2025-05-30T00:00:00"/>
    <d v="2025-06-03T00:00:00"/>
    <s v="Sprain"/>
    <s v="William Baker"/>
    <x v="0"/>
    <n v="31"/>
    <x v="8"/>
    <x v="3"/>
    <x v="3"/>
    <m/>
    <m/>
    <n v="4"/>
    <x v="0"/>
    <x v="4"/>
  </r>
  <r>
    <x v="260"/>
    <x v="255"/>
    <s v="D04"/>
    <d v="2025-03-11T00:00:00"/>
    <d v="2025-03-14T00:00:00"/>
    <s v="Sprain"/>
    <s v="Jacob Lewis"/>
    <x v="0"/>
    <n v="12"/>
    <x v="8"/>
    <x v="3"/>
    <x v="3"/>
    <s v="Sprain Treatment"/>
    <n v="70"/>
    <n v="3"/>
    <x v="3"/>
    <x v="2"/>
  </r>
  <r>
    <x v="261"/>
    <x v="256"/>
    <s v="D05"/>
    <d v="2025-07-17T00:00:00"/>
    <d v="2025-07-21T00:00:00"/>
    <s v="Migraine"/>
    <s v="Leo Murphy"/>
    <x v="0"/>
    <n v="9"/>
    <x v="8"/>
    <x v="4"/>
    <x v="4"/>
    <s v="Migraine Relief"/>
    <n v="95"/>
    <n v="4"/>
    <x v="3"/>
    <x v="6"/>
  </r>
  <r>
    <x v="262"/>
    <x v="257"/>
    <s v="D05"/>
    <d v="2025-04-28T00:00:00"/>
    <d v="2025-05-02T00:00:00"/>
    <s v="Migraine"/>
    <s v="Oscar Young"/>
    <x v="0"/>
    <n v="61"/>
    <x v="8"/>
    <x v="4"/>
    <x v="4"/>
    <s v="Migraine Treatment"/>
    <n v="90"/>
    <n v="4"/>
    <x v="1"/>
    <x v="3"/>
  </r>
  <r>
    <x v="263"/>
    <x v="258"/>
    <s v="D01"/>
    <d v="2025-01-22T00:00:00"/>
    <d v="2025-01-26T00:00:00"/>
    <s v="Asthma"/>
    <s v="George Carter"/>
    <x v="0"/>
    <n v="52"/>
    <x v="8"/>
    <x v="0"/>
    <x v="0"/>
    <s v="Inhaler Therapy"/>
    <n v="120"/>
    <n v="4"/>
    <x v="1"/>
    <x v="0"/>
  </r>
  <r>
    <x v="264"/>
    <x v="259"/>
    <s v="D04"/>
    <d v="2025-08-15T00:00:00"/>
    <d v="2025-08-18T00:00:00"/>
    <s v="Sprain"/>
    <s v="Aria Wright"/>
    <x v="1"/>
    <n v="15"/>
    <x v="3"/>
    <x v="3"/>
    <x v="3"/>
    <s v="Appendectomy Surgery"/>
    <n v="1250"/>
    <n v="3"/>
    <x v="3"/>
    <x v="7"/>
  </r>
  <r>
    <x v="264"/>
    <x v="259"/>
    <s v="D04"/>
    <d v="2025-08-15T00:00:00"/>
    <d v="2025-08-18T00:00:00"/>
    <s v="Sprain"/>
    <s v="Aria Wright"/>
    <x v="1"/>
    <n v="15"/>
    <x v="3"/>
    <x v="3"/>
    <x v="3"/>
    <s v="Sprain Recovery"/>
    <n v="70"/>
    <n v="3"/>
    <x v="3"/>
    <x v="7"/>
  </r>
  <r>
    <x v="265"/>
    <x v="260"/>
    <s v="D04"/>
    <d v="2025-04-28T00:00:00"/>
    <d v="2025-05-01T00:00:00"/>
    <s v="Sprain"/>
    <s v="Isla Morgan"/>
    <x v="1"/>
    <n v="12"/>
    <x v="3"/>
    <x v="3"/>
    <x v="3"/>
    <s v="Physiotherapy"/>
    <n v="75"/>
    <n v="3"/>
    <x v="3"/>
    <x v="3"/>
  </r>
  <r>
    <x v="266"/>
    <x v="261"/>
    <s v="D02"/>
    <d v="2025-11-18T00:00:00"/>
    <d v="2025-11-22T00:00:00"/>
    <s v="Asthma"/>
    <s v="Andrew Bailey"/>
    <x v="0"/>
    <n v="42"/>
    <x v="3"/>
    <x v="1"/>
    <x v="1"/>
    <s v="Asthma Control Plan"/>
    <n v="130"/>
    <n v="4"/>
    <x v="2"/>
    <x v="10"/>
  </r>
  <r>
    <x v="267"/>
    <x v="262"/>
    <s v="D02"/>
    <d v="2025-06-08T00:00:00"/>
    <d v="2025-06-12T00:00:00"/>
    <s v="Gastroenteritis"/>
    <s v="Charlotte Lewis"/>
    <x v="1"/>
    <n v="55"/>
    <x v="3"/>
    <x v="1"/>
    <x v="1"/>
    <s v="Gastro Treatment"/>
    <n v="110"/>
    <n v="4"/>
    <x v="1"/>
    <x v="5"/>
  </r>
  <r>
    <x v="268"/>
    <x v="263"/>
    <s v="D01"/>
    <d v="2025-02-03T00:00:00"/>
    <d v="2025-02-06T00:00:00"/>
    <s v="Flu"/>
    <s v="James Carter"/>
    <x v="0"/>
    <n v="41"/>
    <x v="3"/>
    <x v="0"/>
    <x v="0"/>
    <s v="Antiviral Medication"/>
    <n v="85"/>
    <n v="3"/>
    <x v="2"/>
    <x v="1"/>
  </r>
  <r>
    <x v="269"/>
    <x v="264"/>
    <s v="D03"/>
    <d v="2025-09-05T00:00:00"/>
    <d v="2025-09-09T00:00:00"/>
    <s v="Hypertension"/>
    <s v="Chloe Baker"/>
    <x v="1"/>
    <n v="26"/>
    <x v="3"/>
    <x v="2"/>
    <x v="2"/>
    <s v="Blood Pressure Therapy"/>
    <n v="190"/>
    <n v="4"/>
    <x v="0"/>
    <x v="8"/>
  </r>
  <r>
    <x v="270"/>
    <x v="265"/>
    <s v="D01"/>
    <d v="2025-12-15T00:00:00"/>
    <d v="2025-12-19T00:00:00"/>
    <s v="Flu"/>
    <s v="Edward James"/>
    <x v="0"/>
    <n v="21"/>
    <x v="3"/>
    <x v="0"/>
    <x v="0"/>
    <s v="Antiviral Course"/>
    <n v="85"/>
    <n v="4"/>
    <x v="0"/>
    <x v="11"/>
  </r>
  <r>
    <x v="271"/>
    <x v="266"/>
    <s v="D03"/>
    <d v="2025-03-25T00:00:00"/>
    <d v="2025-03-29T00:00:00"/>
    <s v="Pneumonia"/>
    <s v="George Parker"/>
    <x v="0"/>
    <n v="62"/>
    <x v="3"/>
    <x v="2"/>
    <x v="2"/>
    <s v="Pneumonia Antibiotics"/>
    <n v="340"/>
    <n v="4"/>
    <x v="1"/>
    <x v="2"/>
  </r>
  <r>
    <x v="272"/>
    <x v="267"/>
    <s v="D05"/>
    <d v="2025-10-20T00:00:00"/>
    <d v="2025-10-24T00:00:00"/>
    <s v="Migraine"/>
    <s v="Harper Brooks"/>
    <x v="1"/>
    <n v="18"/>
    <x v="3"/>
    <x v="4"/>
    <x v="4"/>
    <s v="Migraine Relief"/>
    <n v="95"/>
    <n v="4"/>
    <x v="3"/>
    <x v="9"/>
  </r>
  <r>
    <x v="272"/>
    <x v="267"/>
    <s v="D05"/>
    <d v="2025-10-20T00:00:00"/>
    <d v="2025-10-24T00:00:00"/>
    <s v="Migraine"/>
    <s v="Harper Brooks"/>
    <x v="1"/>
    <n v="18"/>
    <x v="3"/>
    <x v="4"/>
    <x v="4"/>
    <s v="Asthma Control"/>
    <n v="115"/>
    <n v="4"/>
    <x v="3"/>
    <x v="9"/>
  </r>
  <r>
    <x v="273"/>
    <x v="268"/>
    <s v="D03"/>
    <d v="2025-07-14T00:00:00"/>
    <d v="2025-07-18T00:00:00"/>
    <s v="Pneumonia"/>
    <s v="Daniel Green"/>
    <x v="0"/>
    <n v="64"/>
    <x v="3"/>
    <x v="2"/>
    <x v="2"/>
    <s v="Pneumonia Treatment"/>
    <n v="340"/>
    <n v="4"/>
    <x v="1"/>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E65A5C-405C-4816-A47B-F2514F12D9E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Department">
  <location ref="F2:G8" firstHeaderRow="1" firstDataRow="1" firstDataCol="1"/>
  <pivotFields count="17">
    <pivotField dataField="1" showAll="0"/>
    <pivotField showAll="0"/>
    <pivotField showAll="0"/>
    <pivotField numFmtId="14" showAll="0"/>
    <pivotField numFmtId="14" showAll="0"/>
    <pivotField showAll="0"/>
    <pivotField showAll="0"/>
    <pivotField showAll="0">
      <items count="3">
        <item x="1"/>
        <item x="0"/>
        <item t="default"/>
      </items>
    </pivotField>
    <pivotField showAll="0"/>
    <pivotField showAll="0"/>
    <pivotField showAll="0"/>
    <pivotField axis="axisRow" showAll="0">
      <items count="6">
        <item x="2"/>
        <item x="4"/>
        <item x="1"/>
        <item x="3"/>
        <item x="0"/>
        <item t="default"/>
      </items>
    </pivotField>
    <pivotField showAll="0"/>
    <pivotField showAll="0"/>
    <pivotField showAll="0"/>
    <pivotField showAll="0">
      <items count="5">
        <item x="3"/>
        <item x="0"/>
        <item x="2"/>
        <item x="1"/>
        <item t="default"/>
      </items>
    </pivotField>
    <pivotField showAll="0"/>
  </pivotFields>
  <rowFields count="1">
    <field x="11"/>
  </rowFields>
  <rowItems count="6">
    <i>
      <x/>
    </i>
    <i>
      <x v="1"/>
    </i>
    <i>
      <x v="2"/>
    </i>
    <i>
      <x v="3"/>
    </i>
    <i>
      <x v="4"/>
    </i>
    <i t="grand">
      <x/>
    </i>
  </rowItems>
  <colItems count="1">
    <i/>
  </colItems>
  <dataFields count="1">
    <dataField name="Count of AdmissionID" fld="0" subtotal="count" baseField="1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EF84D6-28FE-49FF-A39F-9FD6FC0E557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3:K46" firstHeaderRow="1" firstDataRow="1" firstDataCol="1"/>
  <pivotFields count="17">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s>
  <rowFields count="1">
    <field x="16"/>
  </rowFields>
  <rowItems count="13">
    <i>
      <x/>
    </i>
    <i>
      <x v="1"/>
    </i>
    <i>
      <x v="2"/>
    </i>
    <i>
      <x v="3"/>
    </i>
    <i>
      <x v="4"/>
    </i>
    <i>
      <x v="5"/>
    </i>
    <i>
      <x v="6"/>
    </i>
    <i>
      <x v="7"/>
    </i>
    <i>
      <x v="8"/>
    </i>
    <i>
      <x v="9"/>
    </i>
    <i>
      <x v="10"/>
    </i>
    <i>
      <x v="11"/>
    </i>
    <i t="grand">
      <x/>
    </i>
  </rowItems>
  <colItems count="1">
    <i/>
  </colItems>
  <dataFields count="1">
    <dataField name="Sum of Treatments.TreatmentCost" fld="13" baseField="0" baseItem="0" numFmtId="4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56A80C-2F32-4FAA-9FB2-C2BAA24D4A8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octor">
  <location ref="J2:K8" firstHeaderRow="1" firstDataRow="1" firstDataCol="1"/>
  <pivotFields count="17">
    <pivotField dataField="1" showAll="0"/>
    <pivotField showAll="0"/>
    <pivotField showAll="0"/>
    <pivotField numFmtId="14" showAll="0"/>
    <pivotField numFmtId="14" showAll="0"/>
    <pivotField showAll="0"/>
    <pivotField showAll="0"/>
    <pivotField showAll="0">
      <items count="3">
        <item x="1"/>
        <item x="0"/>
        <item t="default"/>
      </items>
    </pivotField>
    <pivotField showAll="0"/>
    <pivotField showAll="0"/>
    <pivotField axis="axisRow" showAll="0">
      <items count="6">
        <item x="4"/>
        <item x="1"/>
        <item x="3"/>
        <item x="2"/>
        <item x="0"/>
        <item t="default"/>
      </items>
    </pivotField>
    <pivotField showAll="0"/>
    <pivotField showAll="0"/>
    <pivotField showAll="0"/>
    <pivotField showAll="0"/>
    <pivotField showAll="0">
      <items count="5">
        <item x="3"/>
        <item x="0"/>
        <item x="2"/>
        <item x="1"/>
        <item t="default"/>
      </items>
    </pivotField>
    <pivotField showAll="0"/>
  </pivotFields>
  <rowFields count="1">
    <field x="10"/>
  </rowFields>
  <rowItems count="6">
    <i>
      <x/>
    </i>
    <i>
      <x v="1"/>
    </i>
    <i>
      <x v="2"/>
    </i>
    <i>
      <x v="3"/>
    </i>
    <i>
      <x v="4"/>
    </i>
    <i t="grand">
      <x/>
    </i>
  </rowItems>
  <colItems count="1">
    <i/>
  </colItems>
  <dataFields count="1">
    <dataField name="Count of Admission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6E0556-6ECF-4B14-96CF-31204FF306D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4:K29" firstHeaderRow="1" firstDataRow="1" firstDataCol="1"/>
  <pivotFields count="17">
    <pivotField showAll="0"/>
    <pivotField dataField="1"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s>
  <rowFields count="1">
    <field x="15"/>
  </rowFields>
  <rowItems count="5">
    <i>
      <x/>
    </i>
    <i>
      <x v="1"/>
    </i>
    <i>
      <x v="2"/>
    </i>
    <i>
      <x v="3"/>
    </i>
    <i t="grand">
      <x/>
    </i>
  </rowItems>
  <colItems count="1">
    <i/>
  </colItems>
  <dataFields count="1">
    <dataField name="Count of Patient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A2D011-B36C-4A16-9236-CAB0DF74D30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location ref="B28:C31" firstHeaderRow="1" firstDataRow="1" firstDataCol="1"/>
  <pivotFields count="17">
    <pivotField showAll="0"/>
    <pivotField dataField="1" showAll="0"/>
    <pivotField showAll="0"/>
    <pivotField numFmtId="14" showAll="0"/>
    <pivotField numFmtId="14"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items count="5">
        <item x="3"/>
        <item x="0"/>
        <item x="2"/>
        <item x="1"/>
        <item t="default"/>
      </items>
    </pivotField>
    <pivotField showAll="0"/>
  </pivotFields>
  <rowFields count="1">
    <field x="7"/>
  </rowFields>
  <rowItems count="3">
    <i>
      <x/>
    </i>
    <i>
      <x v="1"/>
    </i>
    <i t="grand">
      <x/>
    </i>
  </rowItems>
  <colItems count="1">
    <i/>
  </colItems>
  <dataFields count="1">
    <dataField name="Count of PatientID" fld="1" subtotal="count" baseField="0" baseItem="0"/>
  </dataFields>
  <chartFormats count="5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5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E8A36C-D496-4AFF-AA6F-8FB9E8C79D0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rowHeaderCaption="Month">
  <location ref="F12:G25" firstHeaderRow="1" firstDataRow="1" firstDataCol="1"/>
  <pivotFields count="17">
    <pivotField dataField="1" showAll="0"/>
    <pivotField showAll="0"/>
    <pivotField showAll="0"/>
    <pivotField numFmtId="14" showAll="0"/>
    <pivotField numFmtId="14"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items count="5">
        <item x="3"/>
        <item x="0"/>
        <item x="2"/>
        <item x="1"/>
        <item t="default"/>
      </items>
    </pivotField>
    <pivotField axis="axisRow" showAll="0">
      <items count="13">
        <item x="0"/>
        <item x="1"/>
        <item x="2"/>
        <item x="3"/>
        <item x="4"/>
        <item x="5"/>
        <item x="6"/>
        <item x="7"/>
        <item x="8"/>
        <item x="9"/>
        <item x="10"/>
        <item x="11"/>
        <item t="default"/>
      </items>
    </pivotField>
  </pivotFields>
  <rowFields count="1">
    <field x="16"/>
  </rowFields>
  <rowItems count="13">
    <i>
      <x/>
    </i>
    <i>
      <x v="1"/>
    </i>
    <i>
      <x v="2"/>
    </i>
    <i>
      <x v="3"/>
    </i>
    <i>
      <x v="4"/>
    </i>
    <i>
      <x v="5"/>
    </i>
    <i>
      <x v="6"/>
    </i>
    <i>
      <x v="7"/>
    </i>
    <i>
      <x v="8"/>
    </i>
    <i>
      <x v="9"/>
    </i>
    <i>
      <x v="10"/>
    </i>
    <i>
      <x v="11"/>
    </i>
    <i t="grand">
      <x/>
    </i>
  </rowItems>
  <colItems count="1">
    <i/>
  </colItems>
  <dataFields count="1">
    <dataField name="Count of AdmissionID" fld="0" subtotal="count" baseField="0" baseItem="0"/>
  </dataFields>
  <chartFormats count="4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FDCCEB-1236-4470-A08A-68C41C23EB8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6:B17" firstHeaderRow="1" firstDataRow="1" firstDataCol="0"/>
  <pivotFields count="17">
    <pivotField dataField="1" showAll="0"/>
    <pivotField showAll="0"/>
    <pivotField showAll="0"/>
    <pivotField numFmtId="14" showAll="0"/>
    <pivotField numFmtId="14"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items count="5">
        <item x="3"/>
        <item x="0"/>
        <item x="2"/>
        <item x="1"/>
        <item t="default"/>
      </items>
    </pivotField>
    <pivotField showAll="0"/>
  </pivotFields>
  <rowItems count="1">
    <i/>
  </rowItems>
  <colItems count="1">
    <i/>
  </colItems>
  <dataFields count="1">
    <dataField name="Count of AdmissionID" fld="0" subtotal="count" baseField="0" baseItem="0"/>
  </dataFields>
  <formats count="3">
    <format dxfId="3">
      <pivotArea outline="0" collapsedLevelsAreSubtotals="1" fieldPosition="0"/>
    </format>
    <format dxfId="2">
      <pivotArea outline="0" collapsedLevelsAreSubtotals="1" fieldPosition="0"/>
    </format>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A32765-2F25-40D7-898C-D701131E990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Borough">
  <location ref="B2:C12" firstHeaderRow="1" firstDataRow="1" firstDataCol="1"/>
  <pivotFields count="17">
    <pivotField showAll="0"/>
    <pivotField dataField="1" showAll="0"/>
    <pivotField showAll="0"/>
    <pivotField numFmtId="14" showAll="0"/>
    <pivotField numFmtId="14" showAll="0"/>
    <pivotField showAll="0"/>
    <pivotField showAll="0"/>
    <pivotField showAll="0">
      <items count="3">
        <item x="1"/>
        <item x="0"/>
        <item t="default"/>
      </items>
    </pivotField>
    <pivotField showAll="0"/>
    <pivotField axis="axisRow" showAll="0">
      <items count="10">
        <item x="0"/>
        <item x="8"/>
        <item x="2"/>
        <item x="3"/>
        <item x="6"/>
        <item x="1"/>
        <item x="4"/>
        <item x="5"/>
        <item x="7"/>
        <item t="default"/>
      </items>
    </pivotField>
    <pivotField showAll="0"/>
    <pivotField showAll="0"/>
    <pivotField showAll="0"/>
    <pivotField showAll="0"/>
    <pivotField showAll="0"/>
    <pivotField showAll="0">
      <items count="5">
        <item x="3"/>
        <item x="0"/>
        <item x="2"/>
        <item x="1"/>
        <item t="default"/>
      </items>
    </pivotField>
    <pivotField showAll="0"/>
  </pivotFields>
  <rowFields count="1">
    <field x="9"/>
  </rowFields>
  <rowItems count="10">
    <i>
      <x/>
    </i>
    <i>
      <x v="1"/>
    </i>
    <i>
      <x v="2"/>
    </i>
    <i>
      <x v="3"/>
    </i>
    <i>
      <x v="4"/>
    </i>
    <i>
      <x v="5"/>
    </i>
    <i>
      <x v="6"/>
    </i>
    <i>
      <x v="7"/>
    </i>
    <i>
      <x v="8"/>
    </i>
    <i t="grand">
      <x/>
    </i>
  </rowItems>
  <colItems count="1">
    <i/>
  </colItems>
  <dataFields count="1">
    <dataField name="Count of PatientID" fld="1" subtotal="count" baseField="0" baseItem="0" numFmtId="1"/>
  </dataFields>
  <formats count="2">
    <format dxfId="5">
      <pivotArea dataOnly="0" labelOnly="1" outline="0" axis="axisValues" fieldPosition="0"/>
    </format>
    <format dxfId="4">
      <pivotArea outline="0" collapsedLevelsAreSubtotals="1" fieldPosition="0"/>
    </format>
  </format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EE5FDB-8788-4833-898F-88C992D3FB6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B21" firstHeaderRow="1" firstDataRow="1" firstDataCol="0"/>
  <pivotFields count="17">
    <pivotField showAll="0"/>
    <pivotField showAll="0"/>
    <pivotField showAll="0"/>
    <pivotField numFmtId="14" showAll="0"/>
    <pivotField numFmtId="14" showAll="0"/>
    <pivotField showAll="0"/>
    <pivotField showAll="0"/>
    <pivotField showAll="0">
      <items count="3">
        <item x="1"/>
        <item x="0"/>
        <item t="default"/>
      </items>
    </pivotField>
    <pivotField showAll="0"/>
    <pivotField showAll="0"/>
    <pivotField showAll="0"/>
    <pivotField showAll="0"/>
    <pivotField showAll="0"/>
    <pivotField dataField="1" showAll="0"/>
    <pivotField showAll="0"/>
    <pivotField showAll="0">
      <items count="5">
        <item x="3"/>
        <item x="0"/>
        <item x="2"/>
        <item x="1"/>
        <item t="default"/>
      </items>
    </pivotField>
    <pivotField showAll="0"/>
  </pivotFields>
  <rowItems count="1">
    <i/>
  </rowItems>
  <colItems count="1">
    <i/>
  </colItems>
  <dataFields count="1">
    <dataField name="Sum of Treatmen tCost" fld="13" baseField="0" baseItem="0" numFmtId="44"/>
  </dataFields>
  <formats count="4">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028FEA-FC72-41F4-93A9-E34FB1883C1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9:G39" firstHeaderRow="1" firstDataRow="1" firstDataCol="1"/>
  <pivotFields count="17">
    <pivotField showAll="0"/>
    <pivotField showAll="0"/>
    <pivotField showAll="0"/>
    <pivotField numFmtId="14" showAll="0"/>
    <pivotField numFmtId="14" showAll="0"/>
    <pivotField showAll="0"/>
    <pivotField showAll="0"/>
    <pivotField showAll="0">
      <items count="3">
        <item x="1"/>
        <item x="0"/>
        <item t="default"/>
      </items>
    </pivotField>
    <pivotField showAll="0"/>
    <pivotField axis="axisRow" showAll="0">
      <items count="10">
        <item x="0"/>
        <item x="8"/>
        <item x="2"/>
        <item x="3"/>
        <item x="6"/>
        <item x="1"/>
        <item x="4"/>
        <item x="5"/>
        <item x="7"/>
        <item t="default"/>
      </items>
    </pivotField>
    <pivotField showAll="0"/>
    <pivotField showAll="0"/>
    <pivotField showAll="0"/>
    <pivotField dataField="1" showAll="0"/>
    <pivotField showAll="0"/>
    <pivotField showAll="0">
      <items count="5">
        <item x="3"/>
        <item x="0"/>
        <item x="2"/>
        <item x="1"/>
        <item t="default"/>
      </items>
    </pivotField>
    <pivotField showAll="0"/>
  </pivotFields>
  <rowFields count="1">
    <field x="9"/>
  </rowFields>
  <rowItems count="10">
    <i>
      <x/>
    </i>
    <i>
      <x v="1"/>
    </i>
    <i>
      <x v="2"/>
    </i>
    <i>
      <x v="3"/>
    </i>
    <i>
      <x v="4"/>
    </i>
    <i>
      <x v="5"/>
    </i>
    <i>
      <x v="6"/>
    </i>
    <i>
      <x v="7"/>
    </i>
    <i>
      <x v="8"/>
    </i>
    <i t="grand">
      <x/>
    </i>
  </rowItems>
  <colItems count="1">
    <i/>
  </colItems>
  <dataFields count="1">
    <dataField name="Sum of Treatments.TreatmentCost" fld="13" baseField="0" baseItem="0" numFmtId="4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B6E784-EA06-4FF9-B56F-F7B5D59E71D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4:B25" firstHeaderRow="1" firstDataRow="1" firstDataCol="0"/>
  <pivotFields count="17">
    <pivotField showAll="0"/>
    <pivotField showAll="0"/>
    <pivotField showAll="0"/>
    <pivotField numFmtId="14" showAll="0"/>
    <pivotField numFmtId="14" showAll="0"/>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 showAll="0">
      <items count="5">
        <item x="3"/>
        <item x="0"/>
        <item x="2"/>
        <item x="1"/>
        <item t="default"/>
      </items>
    </pivotField>
    <pivotField showAll="0"/>
  </pivotFields>
  <rowItems count="1">
    <i/>
  </rowItems>
  <colItems count="1">
    <i/>
  </colItems>
  <dataFields count="1">
    <dataField name="Average of LengthOfStay" fld="14" subtotal="average" baseField="0" baseItem="0" numFmtId="165"/>
  </dataFields>
  <formats count="3">
    <format dxfId="13">
      <pivotArea outline="0" collapsedLevelsAreSubtotals="1" fieldPosition="0"/>
    </format>
    <format dxfId="12">
      <pivotArea outline="0" collapsedLevelsAreSubtotals="1" fieldPosition="0"/>
    </format>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603331A-E388-4E5D-93C8-05020BFAB23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J12:K18" firstHeaderRow="1" firstDataRow="1" firstDataCol="1"/>
  <pivotFields count="17">
    <pivotField showAll="0"/>
    <pivotField showAll="0"/>
    <pivotField showAll="0"/>
    <pivotField numFmtId="14" showAll="0"/>
    <pivotField numFmtId="14" showAll="0"/>
    <pivotField showAll="0"/>
    <pivotField showAll="0"/>
    <pivotField showAll="0">
      <items count="3">
        <item x="1"/>
        <item x="0"/>
        <item t="default"/>
      </items>
    </pivotField>
    <pivotField showAll="0"/>
    <pivotField showAll="0"/>
    <pivotField showAll="0"/>
    <pivotField axis="axisRow" showAll="0">
      <items count="6">
        <item x="2"/>
        <item x="4"/>
        <item x="1"/>
        <item x="3"/>
        <item x="0"/>
        <item t="default"/>
      </items>
    </pivotField>
    <pivotField showAll="0"/>
    <pivotField dataField="1" showAll="0"/>
    <pivotField showAll="0"/>
    <pivotField showAll="0">
      <items count="5">
        <item x="3"/>
        <item x="0"/>
        <item x="2"/>
        <item x="1"/>
        <item t="default"/>
      </items>
    </pivotField>
    <pivotField showAll="0"/>
  </pivotFields>
  <rowFields count="1">
    <field x="11"/>
  </rowFields>
  <rowItems count="6">
    <i>
      <x/>
    </i>
    <i>
      <x v="1"/>
    </i>
    <i>
      <x v="2"/>
    </i>
    <i>
      <x v="3"/>
    </i>
    <i>
      <x v="4"/>
    </i>
    <i t="grand">
      <x/>
    </i>
  </rowItems>
  <colItems count="1">
    <i/>
  </colItems>
  <dataFields count="1">
    <dataField name="Sum of Treatments.TreatmentCost" fld="13" baseField="11" baseItem="0" numFmtId="44"/>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9F44AF66-E06E-455E-8BFE-F628750B43CB}" autoFormatId="16" applyNumberFormats="0" applyBorderFormats="0" applyFontFormats="0" applyPatternFormats="0" applyAlignmentFormats="0" applyWidthHeightFormats="0">
  <queryTableRefresh nextId="5">
    <queryTableFields count="4">
      <queryTableField id="1" name="TreatmentID" tableColumnId="1"/>
      <queryTableField id="2" name="AdmissionID" tableColumnId="2"/>
      <queryTableField id="3" name="TreatmentName" tableColumnId="3"/>
      <queryTableField id="4" name="TreatmentCost"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3FDD5E85-0B16-4E92-BA63-90553D04E26D}" autoFormatId="16" applyNumberFormats="0" applyBorderFormats="0" applyFontFormats="0" applyPatternFormats="0" applyAlignmentFormats="0" applyWidthHeightFormats="0">
  <queryTableRefresh nextId="6">
    <queryTableFields count="5">
      <queryTableField id="1" name="PatientID" tableColumnId="1"/>
      <queryTableField id="2" name="PatientName" tableColumnId="2"/>
      <queryTableField id="3" name="Gender" tableColumnId="3"/>
      <queryTableField id="4" name="Age" tableColumnId="4"/>
      <queryTableField id="5" name="Borough"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1C8A1285-5644-4A9E-8F61-C98FB0CA7395}" autoFormatId="16" applyNumberFormats="0" applyBorderFormats="0" applyFontFormats="0" applyPatternFormats="0" applyAlignmentFormats="0" applyWidthHeightFormats="0">
  <queryTableRefresh nextId="4">
    <queryTableFields count="3">
      <queryTableField id="1" name="DoctorID" tableColumnId="1"/>
      <queryTableField id="2" name="DoctorName" tableColumnId="2"/>
      <queryTableField id="3" name="Department"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2" xr16:uid="{38939E52-D064-4F6F-BBE8-37E4156708DD}" autoFormatId="16" applyNumberFormats="0" applyBorderFormats="0" applyFontFormats="0" applyPatternFormats="0" applyAlignmentFormats="0" applyWidthHeightFormats="0">
  <queryTableRefresh nextId="18">
    <queryTableFields count="17">
      <queryTableField id="1" name="AdmissionID" tableColumnId="1"/>
      <queryTableField id="2" name="PatientID" tableColumnId="2"/>
      <queryTableField id="3" name="DoctorID" tableColumnId="3"/>
      <queryTableField id="4" name="AdmissionDate" tableColumnId="4"/>
      <queryTableField id="5" name="DischargeDate" tableColumnId="5"/>
      <queryTableField id="6" name="Diagnosis" tableColumnId="6"/>
      <queryTableField id="7" name="Patients.PatientName" tableColumnId="7"/>
      <queryTableField id="8" name="Patients.Gender" tableColumnId="8"/>
      <queryTableField id="9" name="Patients.Age" tableColumnId="9"/>
      <queryTableField id="10" name="Patients.Borough" tableColumnId="10"/>
      <queryTableField id="11" name="Doctors.DoctorName" tableColumnId="11"/>
      <queryTableField id="12" name="Doctors.Department" tableColumnId="12"/>
      <queryTableField id="13" name="Treatments.TreatmentName" tableColumnId="13"/>
      <queryTableField id="14" name="Treatments.TreatmentCost" tableColumnId="14"/>
      <queryTableField id="15" name="LengthOfStay" tableColumnId="15"/>
      <queryTableField id="16" name="AgeBand" tableColumnId="16"/>
      <queryTableField id="17" name="AdmissionMonth"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s.Gender" xr10:uid="{6F68CF2B-EE4F-47A1-9056-AB6DFE74F311}" sourceName="Patients.Gender">
  <pivotTables>
    <pivotTable tabId="1" name="PivotTable9"/>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s>
  <data>
    <tabular pivotCacheId="1827617839">
      <items count="2">
        <i x="1"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Band" xr10:uid="{7F3361FE-6510-42AC-9331-2958E47E66D2}" sourceName="AgeBand">
  <pivotTables>
    <pivotTable tabId="1" name="PivotTable11"/>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827617839">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TIENT GENDERS" xr10:uid="{DA35181B-11BD-491B-B98A-4201169DD537}" cache="Slicer_Patients.Gender" caption="GENDER" style="SlicerStyleDark1" rowHeight="360000"/>
  <slicer name="AgeBand 1" xr10:uid="{186545C3-CCFE-4D9F-AC05-C3E52C52FE21}" cache="Slicer_AgeBand" caption="Age Band" style="SlicerStyleDark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31A7AD-7DB5-45D5-8BF5-D4CC9326741B}" name="Treatments" displayName="Treatments" ref="A1:D270" tableType="queryTable" totalsRowShown="0">
  <autoFilter ref="A1:D270" xr:uid="{4A31A7AD-7DB5-45D5-8BF5-D4CC9326741B}"/>
  <tableColumns count="4">
    <tableColumn id="1" xr3:uid="{702100D2-2817-4251-8F2D-5EC4A9F80C27}" uniqueName="1" name="TreatmentID" queryTableFieldId="1" dataDxfId="37"/>
    <tableColumn id="2" xr3:uid="{02AAB911-C369-47AE-9F5C-F2C2A9015A85}" uniqueName="2" name="AdmissionID" queryTableFieldId="2" dataDxfId="36"/>
    <tableColumn id="3" xr3:uid="{DFFB91DB-FD7B-4D19-B150-16D4BC3039AF}" uniqueName="3" name="TreatmentName" queryTableFieldId="3" dataDxfId="35"/>
    <tableColumn id="4" xr3:uid="{AC62CBE2-98CB-4162-82A1-B949C1D9575B}" uniqueName="4" name="TreatmentCost"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1ACD0E-8BE6-47E5-8989-67C50322CAB1}" name="Patients" displayName="Patients" ref="A1:E274" tableType="queryTable" totalsRowShown="0">
  <autoFilter ref="A1:E274" xr:uid="{201ACD0E-8BE6-47E5-8989-67C50322CAB1}"/>
  <tableColumns count="5">
    <tableColumn id="1" xr3:uid="{BC6E5042-529D-42B9-BC38-478F82947832}" uniqueName="1" name="PatientID" queryTableFieldId="1" dataDxfId="34"/>
    <tableColumn id="2" xr3:uid="{692AAE81-2A47-4EBF-B15A-7DE84C7C3DCC}" uniqueName="2" name="PatientName" queryTableFieldId="2" dataDxfId="33"/>
    <tableColumn id="3" xr3:uid="{2B96EA3D-DE73-4F0E-B2AA-E09FCBC94ADA}" uniqueName="3" name="Gender" queryTableFieldId="3" dataDxfId="32"/>
    <tableColumn id="4" xr3:uid="{24B4640B-771A-4C3B-9464-25B968A208AF}" uniqueName="4" name="Age" queryTableFieldId="4"/>
    <tableColumn id="5" xr3:uid="{223C78FC-76DD-412E-94DB-E27A9C4C8F4D}" uniqueName="5" name="Borough" queryTableFieldId="5" dataDxfId="3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335560-21E2-45EC-A22F-A5C957737E0B}" name="Doctors" displayName="Doctors" ref="A1:C6" tableType="queryTable" totalsRowShown="0">
  <autoFilter ref="A1:C6" xr:uid="{A7335560-21E2-45EC-A22F-A5C957737E0B}"/>
  <tableColumns count="3">
    <tableColumn id="1" xr3:uid="{8F820EBC-B30B-4C4A-9E77-67FA7E2D486E}" uniqueName="1" name="DoctorID" queryTableFieldId="1" dataDxfId="30"/>
    <tableColumn id="2" xr3:uid="{25E66039-4CCB-4008-B613-5BB48036445A}" uniqueName="2" name="DoctorName" queryTableFieldId="2" dataDxfId="29"/>
    <tableColumn id="3" xr3:uid="{5AD72A91-8D79-46FE-BB11-CE3BB4C231EC}" uniqueName="3" name="Department" queryTableFieldId="3" dataDxfId="2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7BE400D-31EF-41FC-AA86-91AC92024E29}" name="Hospital_Fact_Table" displayName="Hospital_Fact_Table" ref="A1:Q279" tableType="queryTable" totalsRowShown="0">
  <autoFilter ref="A1:Q279" xr:uid="{47BE400D-31EF-41FC-AA86-91AC92024E29}"/>
  <sortState xmlns:xlrd2="http://schemas.microsoft.com/office/spreadsheetml/2017/richdata2" ref="A2:Q279">
    <sortCondition ref="L1:L279"/>
  </sortState>
  <tableColumns count="17">
    <tableColumn id="1" xr3:uid="{5CF605FB-B968-45E7-AE9D-DB73BC774614}" uniqueName="1" name="AdmissionID" queryTableFieldId="1" dataDxfId="27"/>
    <tableColumn id="2" xr3:uid="{B2E7BB7F-7D19-4C40-9FE3-CDD24D76C036}" uniqueName="2" name="PatientID" queryTableFieldId="2" dataDxfId="26"/>
    <tableColumn id="3" xr3:uid="{FFA91E67-154B-4F3B-B9BC-8D0BE9F02574}" uniqueName="3" name="DoctorID" queryTableFieldId="3" dataDxfId="25"/>
    <tableColumn id="4" xr3:uid="{C4084B00-AC58-4AAB-8C6D-C568230F18ED}" uniqueName="4" name="AdmissionDate" queryTableFieldId="4" dataDxfId="24"/>
    <tableColumn id="5" xr3:uid="{E860D9C8-7755-4491-A4E1-E55ACF13F30F}" uniqueName="5" name="DischargeDate" queryTableFieldId="5" dataDxfId="23"/>
    <tableColumn id="6" xr3:uid="{BBEAC1F7-37B8-425B-B197-15EBA0FE11CF}" uniqueName="6" name="Diagnosis" queryTableFieldId="6" dataDxfId="22"/>
    <tableColumn id="7" xr3:uid="{BFE3972F-4CE5-4B2E-8E0D-073E336FBA81}" uniqueName="7" name="Patients.PatientName" queryTableFieldId="7" dataDxfId="21"/>
    <tableColumn id="8" xr3:uid="{2A93F727-A213-43C7-903E-0E64FF720E49}" uniqueName="8" name="Patients.Gender" queryTableFieldId="8" dataDxfId="20"/>
    <tableColumn id="9" xr3:uid="{C9C66277-1071-45B9-BDDE-7510A60A157A}" uniqueName="9" name="Patients.Age" queryTableFieldId="9"/>
    <tableColumn id="10" xr3:uid="{E264A297-B911-4FBC-AAD4-B19C305EABFE}" uniqueName="10" name="Patients.Borough" queryTableFieldId="10" dataDxfId="19"/>
    <tableColumn id="11" xr3:uid="{A0760C0E-80A9-4AB1-A94D-A77DD3BC1AB8}" uniqueName="11" name="Doctors.DoctorName" queryTableFieldId="11" dataDxfId="18"/>
    <tableColumn id="12" xr3:uid="{F12725F2-3A33-4402-B369-2AC5FB3011D6}" uniqueName="12" name="Doctors.Department" queryTableFieldId="12" dataDxfId="17"/>
    <tableColumn id="13" xr3:uid="{2805AA98-4B1F-4982-9D32-52023FDD64B0}" uniqueName="13" name="Treatments.TreatmentName" queryTableFieldId="13" dataDxfId="16"/>
    <tableColumn id="14" xr3:uid="{F38DCD97-2442-43BA-829F-662A2293DD2A}" uniqueName="14" name="Treatments.TreatmentCost" queryTableFieldId="14"/>
    <tableColumn id="15" xr3:uid="{73EAA290-B157-47A4-8362-09C105AEBFE5}" uniqueName="15" name="LengthOfStay" queryTableFieldId="15"/>
    <tableColumn id="16" xr3:uid="{FA2EBB14-9AE0-43F2-AB9A-CED6BE6ADD18}" uniqueName="16" name="AgeBand" queryTableFieldId="16"/>
    <tableColumn id="17" xr3:uid="{26D98C82-2B79-4FC2-AFC9-F46A3745DB94}" uniqueName="17" name="AdmissionMonth" queryTableFieldId="17" dataDxf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17F6-C842-4E5A-BCC1-1BBA23E1DD11}">
  <dimension ref="A1:D270"/>
  <sheetViews>
    <sheetView workbookViewId="0"/>
  </sheetViews>
  <sheetFormatPr defaultRowHeight="15" x14ac:dyDescent="0.25"/>
  <cols>
    <col min="1" max="2" width="14.42578125" bestFit="1" customWidth="1"/>
    <col min="3" max="3" width="24.42578125" bestFit="1" customWidth="1"/>
    <col min="4" max="4" width="16.5703125" bestFit="1" customWidth="1"/>
  </cols>
  <sheetData>
    <row r="1" spans="1:4" x14ac:dyDescent="0.25">
      <c r="A1" t="s">
        <v>474</v>
      </c>
      <c r="B1" t="s">
        <v>475</v>
      </c>
      <c r="C1" t="s">
        <v>476</v>
      </c>
      <c r="D1" t="s">
        <v>477</v>
      </c>
    </row>
    <row r="2" spans="1:4" x14ac:dyDescent="0.25">
      <c r="A2" s="1" t="s">
        <v>478</v>
      </c>
      <c r="B2" s="1" t="s">
        <v>479</v>
      </c>
      <c r="C2" s="1" t="s">
        <v>480</v>
      </c>
      <c r="D2">
        <v>120</v>
      </c>
    </row>
    <row r="3" spans="1:4" x14ac:dyDescent="0.25">
      <c r="A3" s="1" t="s">
        <v>481</v>
      </c>
      <c r="B3" s="1" t="s">
        <v>482</v>
      </c>
      <c r="C3" s="1" t="s">
        <v>483</v>
      </c>
      <c r="D3">
        <v>85</v>
      </c>
    </row>
    <row r="4" spans="1:4" x14ac:dyDescent="0.25">
      <c r="A4" s="1" t="s">
        <v>484</v>
      </c>
      <c r="B4" s="1" t="s">
        <v>485</v>
      </c>
      <c r="C4" s="1" t="s">
        <v>486</v>
      </c>
      <c r="D4">
        <v>200</v>
      </c>
    </row>
    <row r="5" spans="1:4" x14ac:dyDescent="0.25">
      <c r="A5" s="1" t="s">
        <v>487</v>
      </c>
      <c r="B5" s="1" t="s">
        <v>488</v>
      </c>
      <c r="C5" s="1" t="s">
        <v>489</v>
      </c>
      <c r="D5">
        <v>60</v>
      </c>
    </row>
    <row r="6" spans="1:4" x14ac:dyDescent="0.25">
      <c r="A6" s="1" t="s">
        <v>490</v>
      </c>
      <c r="B6" s="1" t="s">
        <v>491</v>
      </c>
      <c r="C6" s="1" t="s">
        <v>492</v>
      </c>
      <c r="D6">
        <v>1300</v>
      </c>
    </row>
    <row r="7" spans="1:4" x14ac:dyDescent="0.25">
      <c r="A7" s="1" t="s">
        <v>493</v>
      </c>
      <c r="B7" s="1" t="s">
        <v>494</v>
      </c>
      <c r="C7" s="1" t="s">
        <v>495</v>
      </c>
      <c r="D7">
        <v>150</v>
      </c>
    </row>
    <row r="8" spans="1:4" x14ac:dyDescent="0.25">
      <c r="A8" s="1" t="s">
        <v>496</v>
      </c>
      <c r="B8" s="1" t="s">
        <v>497</v>
      </c>
      <c r="C8" s="1" t="s">
        <v>498</v>
      </c>
      <c r="D8">
        <v>110</v>
      </c>
    </row>
    <row r="9" spans="1:4" x14ac:dyDescent="0.25">
      <c r="A9" s="1" t="s">
        <v>499</v>
      </c>
      <c r="B9" s="1" t="s">
        <v>500</v>
      </c>
      <c r="C9" s="1" t="s">
        <v>501</v>
      </c>
      <c r="D9">
        <v>1250</v>
      </c>
    </row>
    <row r="10" spans="1:4" x14ac:dyDescent="0.25">
      <c r="A10" s="1" t="s">
        <v>502</v>
      </c>
      <c r="B10" s="1" t="s">
        <v>503</v>
      </c>
      <c r="C10" s="1" t="s">
        <v>504</v>
      </c>
      <c r="D10">
        <v>45</v>
      </c>
    </row>
    <row r="11" spans="1:4" x14ac:dyDescent="0.25">
      <c r="A11" s="1" t="s">
        <v>505</v>
      </c>
      <c r="B11" s="1" t="s">
        <v>506</v>
      </c>
      <c r="C11" s="1" t="s">
        <v>507</v>
      </c>
      <c r="D11">
        <v>95</v>
      </c>
    </row>
    <row r="12" spans="1:4" x14ac:dyDescent="0.25">
      <c r="A12" s="1" t="s">
        <v>508</v>
      </c>
      <c r="B12" s="1" t="s">
        <v>509</v>
      </c>
      <c r="C12" s="1" t="s">
        <v>510</v>
      </c>
      <c r="D12">
        <v>75</v>
      </c>
    </row>
    <row r="13" spans="1:4" x14ac:dyDescent="0.25">
      <c r="A13" s="1" t="s">
        <v>511</v>
      </c>
      <c r="B13" s="1" t="s">
        <v>512</v>
      </c>
      <c r="C13" s="1" t="s">
        <v>513</v>
      </c>
      <c r="D13">
        <v>80</v>
      </c>
    </row>
    <row r="14" spans="1:4" x14ac:dyDescent="0.25">
      <c r="A14" s="1" t="s">
        <v>514</v>
      </c>
      <c r="B14" s="1" t="s">
        <v>515</v>
      </c>
      <c r="C14" s="1" t="s">
        <v>516</v>
      </c>
      <c r="D14">
        <v>340</v>
      </c>
    </row>
    <row r="15" spans="1:4" x14ac:dyDescent="0.25">
      <c r="A15" s="1" t="s">
        <v>517</v>
      </c>
      <c r="B15" s="1" t="s">
        <v>518</v>
      </c>
      <c r="C15" s="1" t="s">
        <v>519</v>
      </c>
      <c r="D15">
        <v>65</v>
      </c>
    </row>
    <row r="16" spans="1:4" x14ac:dyDescent="0.25">
      <c r="A16" s="1" t="s">
        <v>520</v>
      </c>
      <c r="B16" s="1" t="s">
        <v>521</v>
      </c>
      <c r="C16" s="1" t="s">
        <v>522</v>
      </c>
      <c r="D16">
        <v>220</v>
      </c>
    </row>
    <row r="17" spans="1:4" x14ac:dyDescent="0.25">
      <c r="A17" s="1" t="s">
        <v>523</v>
      </c>
      <c r="B17" s="1" t="s">
        <v>524</v>
      </c>
      <c r="C17" s="1" t="s">
        <v>525</v>
      </c>
      <c r="D17">
        <v>130</v>
      </c>
    </row>
    <row r="18" spans="1:4" x14ac:dyDescent="0.25">
      <c r="A18" s="1" t="s">
        <v>526</v>
      </c>
      <c r="B18" s="1" t="s">
        <v>527</v>
      </c>
      <c r="C18" s="1" t="s">
        <v>528</v>
      </c>
      <c r="D18">
        <v>320</v>
      </c>
    </row>
    <row r="19" spans="1:4" x14ac:dyDescent="0.25">
      <c r="A19" s="1" t="s">
        <v>529</v>
      </c>
      <c r="B19" s="1" t="s">
        <v>530</v>
      </c>
      <c r="C19" s="1" t="s">
        <v>531</v>
      </c>
      <c r="D19">
        <v>90</v>
      </c>
    </row>
    <row r="20" spans="1:4" x14ac:dyDescent="0.25">
      <c r="A20" s="1" t="s">
        <v>532</v>
      </c>
      <c r="B20" s="1" t="s">
        <v>533</v>
      </c>
      <c r="C20" s="1" t="s">
        <v>534</v>
      </c>
      <c r="D20">
        <v>70</v>
      </c>
    </row>
    <row r="21" spans="1:4" x14ac:dyDescent="0.25">
      <c r="A21" s="1" t="s">
        <v>535</v>
      </c>
      <c r="B21" s="1" t="s">
        <v>536</v>
      </c>
      <c r="C21" s="1" t="s">
        <v>537</v>
      </c>
      <c r="D21">
        <v>1250</v>
      </c>
    </row>
    <row r="22" spans="1:4" x14ac:dyDescent="0.25">
      <c r="A22" s="1" t="s">
        <v>538</v>
      </c>
      <c r="B22" s="1" t="s">
        <v>539</v>
      </c>
      <c r="C22" s="1" t="s">
        <v>540</v>
      </c>
      <c r="D22">
        <v>160</v>
      </c>
    </row>
    <row r="23" spans="1:4" x14ac:dyDescent="0.25">
      <c r="A23" s="1" t="s">
        <v>541</v>
      </c>
      <c r="B23" s="1" t="s">
        <v>542</v>
      </c>
      <c r="C23" s="1" t="s">
        <v>543</v>
      </c>
      <c r="D23">
        <v>210</v>
      </c>
    </row>
    <row r="24" spans="1:4" x14ac:dyDescent="0.25">
      <c r="A24" s="1" t="s">
        <v>544</v>
      </c>
      <c r="B24" s="1" t="s">
        <v>545</v>
      </c>
      <c r="C24" s="1" t="s">
        <v>546</v>
      </c>
      <c r="D24">
        <v>110</v>
      </c>
    </row>
    <row r="25" spans="1:4" x14ac:dyDescent="0.25">
      <c r="A25" s="1" t="s">
        <v>547</v>
      </c>
      <c r="B25" s="1" t="s">
        <v>548</v>
      </c>
      <c r="C25" s="1" t="s">
        <v>549</v>
      </c>
      <c r="D25">
        <v>55</v>
      </c>
    </row>
    <row r="26" spans="1:4" x14ac:dyDescent="0.25">
      <c r="A26" s="1" t="s">
        <v>550</v>
      </c>
      <c r="B26" s="1" t="s">
        <v>551</v>
      </c>
      <c r="C26" s="1" t="s">
        <v>552</v>
      </c>
      <c r="D26">
        <v>80</v>
      </c>
    </row>
    <row r="27" spans="1:4" x14ac:dyDescent="0.25">
      <c r="A27" s="1" t="s">
        <v>553</v>
      </c>
      <c r="B27" s="1" t="s">
        <v>554</v>
      </c>
      <c r="C27" s="1" t="s">
        <v>555</v>
      </c>
      <c r="D27">
        <v>330</v>
      </c>
    </row>
    <row r="28" spans="1:4" x14ac:dyDescent="0.25">
      <c r="A28" s="1" t="s">
        <v>556</v>
      </c>
      <c r="B28" s="1" t="s">
        <v>557</v>
      </c>
      <c r="C28" s="1" t="s">
        <v>558</v>
      </c>
      <c r="D28">
        <v>100</v>
      </c>
    </row>
    <row r="29" spans="1:4" x14ac:dyDescent="0.25">
      <c r="A29" s="1" t="s">
        <v>559</v>
      </c>
      <c r="B29" s="1" t="s">
        <v>560</v>
      </c>
      <c r="C29" s="1" t="s">
        <v>561</v>
      </c>
      <c r="D29">
        <v>180</v>
      </c>
    </row>
    <row r="30" spans="1:4" x14ac:dyDescent="0.25">
      <c r="A30" s="1" t="s">
        <v>562</v>
      </c>
      <c r="B30" s="1" t="s">
        <v>563</v>
      </c>
      <c r="C30" s="1" t="s">
        <v>564</v>
      </c>
      <c r="D30">
        <v>310</v>
      </c>
    </row>
    <row r="31" spans="1:4" x14ac:dyDescent="0.25">
      <c r="A31" s="1" t="s">
        <v>565</v>
      </c>
      <c r="B31" s="1" t="s">
        <v>566</v>
      </c>
      <c r="C31" s="1" t="s">
        <v>567</v>
      </c>
      <c r="D31">
        <v>115</v>
      </c>
    </row>
    <row r="32" spans="1:4" x14ac:dyDescent="0.25">
      <c r="A32" s="1" t="s">
        <v>568</v>
      </c>
      <c r="B32" s="1" t="s">
        <v>569</v>
      </c>
      <c r="C32" s="1" t="s">
        <v>570</v>
      </c>
      <c r="D32">
        <v>60</v>
      </c>
    </row>
    <row r="33" spans="1:4" x14ac:dyDescent="0.25">
      <c r="A33" s="1" t="s">
        <v>571</v>
      </c>
      <c r="B33" s="1" t="s">
        <v>572</v>
      </c>
      <c r="C33" s="1" t="s">
        <v>573</v>
      </c>
      <c r="D33">
        <v>85</v>
      </c>
    </row>
    <row r="34" spans="1:4" x14ac:dyDescent="0.25">
      <c r="A34" s="1" t="s">
        <v>574</v>
      </c>
      <c r="B34" s="1" t="s">
        <v>575</v>
      </c>
      <c r="C34" s="1" t="s">
        <v>576</v>
      </c>
      <c r="D34">
        <v>140</v>
      </c>
    </row>
    <row r="35" spans="1:4" x14ac:dyDescent="0.25">
      <c r="A35" s="1" t="s">
        <v>577</v>
      </c>
      <c r="B35" s="1" t="s">
        <v>578</v>
      </c>
      <c r="C35" s="1" t="s">
        <v>579</v>
      </c>
      <c r="D35">
        <v>70</v>
      </c>
    </row>
    <row r="36" spans="1:4" x14ac:dyDescent="0.25">
      <c r="A36" s="1" t="s">
        <v>580</v>
      </c>
      <c r="B36" s="1" t="s">
        <v>581</v>
      </c>
      <c r="C36" s="1" t="s">
        <v>582</v>
      </c>
      <c r="D36">
        <v>190</v>
      </c>
    </row>
    <row r="37" spans="1:4" x14ac:dyDescent="0.25">
      <c r="A37" s="1" t="s">
        <v>583</v>
      </c>
      <c r="B37" s="1" t="s">
        <v>584</v>
      </c>
      <c r="C37" s="1" t="s">
        <v>480</v>
      </c>
      <c r="D37">
        <v>120</v>
      </c>
    </row>
    <row r="38" spans="1:4" x14ac:dyDescent="0.25">
      <c r="A38" s="1" t="s">
        <v>585</v>
      </c>
      <c r="B38" s="1" t="s">
        <v>586</v>
      </c>
      <c r="C38" s="1" t="s">
        <v>483</v>
      </c>
      <c r="D38">
        <v>85</v>
      </c>
    </row>
    <row r="39" spans="1:4" x14ac:dyDescent="0.25">
      <c r="A39" s="1" t="s">
        <v>587</v>
      </c>
      <c r="B39" s="1" t="s">
        <v>588</v>
      </c>
      <c r="C39" s="1" t="s">
        <v>489</v>
      </c>
      <c r="D39">
        <v>60</v>
      </c>
    </row>
    <row r="40" spans="1:4" x14ac:dyDescent="0.25">
      <c r="A40" s="1" t="s">
        <v>589</v>
      </c>
      <c r="B40" s="1" t="s">
        <v>590</v>
      </c>
      <c r="C40" s="1" t="s">
        <v>492</v>
      </c>
      <c r="D40">
        <v>1300</v>
      </c>
    </row>
    <row r="41" spans="1:4" x14ac:dyDescent="0.25">
      <c r="A41" s="1" t="s">
        <v>591</v>
      </c>
      <c r="B41" s="1" t="s">
        <v>592</v>
      </c>
      <c r="C41" s="1" t="s">
        <v>486</v>
      </c>
      <c r="D41">
        <v>200</v>
      </c>
    </row>
    <row r="42" spans="1:4" x14ac:dyDescent="0.25">
      <c r="A42" s="1" t="s">
        <v>593</v>
      </c>
      <c r="B42" s="1" t="s">
        <v>594</v>
      </c>
      <c r="C42" s="1" t="s">
        <v>555</v>
      </c>
      <c r="D42">
        <v>340</v>
      </c>
    </row>
    <row r="43" spans="1:4" x14ac:dyDescent="0.25">
      <c r="A43" s="1" t="s">
        <v>595</v>
      </c>
      <c r="B43" s="1" t="s">
        <v>596</v>
      </c>
      <c r="C43" s="1" t="s">
        <v>495</v>
      </c>
      <c r="D43">
        <v>150</v>
      </c>
    </row>
    <row r="44" spans="1:4" x14ac:dyDescent="0.25">
      <c r="A44" s="1" t="s">
        <v>597</v>
      </c>
      <c r="B44" s="1" t="s">
        <v>598</v>
      </c>
      <c r="C44" s="1" t="s">
        <v>543</v>
      </c>
      <c r="D44">
        <v>210</v>
      </c>
    </row>
    <row r="45" spans="1:4" x14ac:dyDescent="0.25">
      <c r="A45" s="1" t="s">
        <v>599</v>
      </c>
      <c r="B45" s="1" t="s">
        <v>600</v>
      </c>
      <c r="C45" s="1" t="s">
        <v>510</v>
      </c>
      <c r="D45">
        <v>75</v>
      </c>
    </row>
    <row r="46" spans="1:4" x14ac:dyDescent="0.25">
      <c r="A46" s="1" t="s">
        <v>601</v>
      </c>
      <c r="B46" s="1" t="s">
        <v>602</v>
      </c>
      <c r="C46" s="1" t="s">
        <v>501</v>
      </c>
      <c r="D46">
        <v>1250</v>
      </c>
    </row>
    <row r="47" spans="1:4" x14ac:dyDescent="0.25">
      <c r="A47" s="1" t="s">
        <v>603</v>
      </c>
      <c r="B47" s="1" t="s">
        <v>604</v>
      </c>
      <c r="C47" s="1" t="s">
        <v>561</v>
      </c>
      <c r="D47">
        <v>180</v>
      </c>
    </row>
    <row r="48" spans="1:4" x14ac:dyDescent="0.25">
      <c r="A48" s="1" t="s">
        <v>605</v>
      </c>
      <c r="B48" s="1" t="s">
        <v>606</v>
      </c>
      <c r="C48" s="1" t="s">
        <v>513</v>
      </c>
      <c r="D48">
        <v>80</v>
      </c>
    </row>
    <row r="49" spans="1:4" x14ac:dyDescent="0.25">
      <c r="A49" s="1" t="s">
        <v>607</v>
      </c>
      <c r="B49" s="1" t="s">
        <v>608</v>
      </c>
      <c r="C49" s="1" t="s">
        <v>546</v>
      </c>
      <c r="D49">
        <v>110</v>
      </c>
    </row>
    <row r="50" spans="1:4" x14ac:dyDescent="0.25">
      <c r="A50" s="1" t="s">
        <v>609</v>
      </c>
      <c r="B50" s="1" t="s">
        <v>610</v>
      </c>
      <c r="C50" s="1" t="s">
        <v>528</v>
      </c>
      <c r="D50">
        <v>320</v>
      </c>
    </row>
    <row r="51" spans="1:4" x14ac:dyDescent="0.25">
      <c r="A51" s="1" t="s">
        <v>611</v>
      </c>
      <c r="B51" s="1" t="s">
        <v>612</v>
      </c>
      <c r="C51" s="1" t="s">
        <v>531</v>
      </c>
      <c r="D51">
        <v>90</v>
      </c>
    </row>
    <row r="52" spans="1:4" x14ac:dyDescent="0.25">
      <c r="A52" s="1" t="s">
        <v>613</v>
      </c>
      <c r="B52" s="1" t="s">
        <v>614</v>
      </c>
      <c r="C52" s="1" t="s">
        <v>516</v>
      </c>
      <c r="D52">
        <v>340</v>
      </c>
    </row>
    <row r="53" spans="1:4" x14ac:dyDescent="0.25">
      <c r="A53" s="1" t="s">
        <v>615</v>
      </c>
      <c r="B53" s="1" t="s">
        <v>616</v>
      </c>
      <c r="C53" s="1" t="s">
        <v>567</v>
      </c>
      <c r="D53">
        <v>115</v>
      </c>
    </row>
    <row r="54" spans="1:4" x14ac:dyDescent="0.25">
      <c r="A54" s="1" t="s">
        <v>617</v>
      </c>
      <c r="B54" s="1" t="s">
        <v>618</v>
      </c>
      <c r="C54" s="1" t="s">
        <v>534</v>
      </c>
      <c r="D54">
        <v>70</v>
      </c>
    </row>
    <row r="55" spans="1:4" x14ac:dyDescent="0.25">
      <c r="A55" s="1" t="s">
        <v>619</v>
      </c>
      <c r="B55" s="1" t="s">
        <v>620</v>
      </c>
      <c r="C55" s="1" t="s">
        <v>579</v>
      </c>
      <c r="D55">
        <v>70</v>
      </c>
    </row>
    <row r="56" spans="1:4" x14ac:dyDescent="0.25">
      <c r="A56" s="1" t="s">
        <v>621</v>
      </c>
      <c r="B56" s="1" t="s">
        <v>622</v>
      </c>
      <c r="C56" s="1" t="s">
        <v>537</v>
      </c>
      <c r="D56">
        <v>1250</v>
      </c>
    </row>
    <row r="57" spans="1:4" x14ac:dyDescent="0.25">
      <c r="A57" s="1" t="s">
        <v>623</v>
      </c>
      <c r="B57" s="1" t="s">
        <v>624</v>
      </c>
      <c r="C57" s="1" t="s">
        <v>625</v>
      </c>
      <c r="D57">
        <v>190</v>
      </c>
    </row>
    <row r="58" spans="1:4" x14ac:dyDescent="0.25">
      <c r="A58" s="1" t="s">
        <v>626</v>
      </c>
      <c r="B58" s="1" t="s">
        <v>627</v>
      </c>
      <c r="C58" s="1" t="s">
        <v>576</v>
      </c>
      <c r="D58">
        <v>140</v>
      </c>
    </row>
    <row r="59" spans="1:4" x14ac:dyDescent="0.25">
      <c r="A59" s="1" t="s">
        <v>628</v>
      </c>
      <c r="B59" s="1" t="s">
        <v>629</v>
      </c>
      <c r="C59" s="1" t="s">
        <v>630</v>
      </c>
      <c r="D59">
        <v>110</v>
      </c>
    </row>
    <row r="60" spans="1:4" x14ac:dyDescent="0.25">
      <c r="A60" s="1" t="s">
        <v>631</v>
      </c>
      <c r="B60" s="1" t="s">
        <v>632</v>
      </c>
      <c r="C60" s="1" t="s">
        <v>564</v>
      </c>
      <c r="D60">
        <v>310</v>
      </c>
    </row>
    <row r="61" spans="1:4" x14ac:dyDescent="0.25">
      <c r="A61" s="1" t="s">
        <v>633</v>
      </c>
      <c r="B61" s="1" t="s">
        <v>634</v>
      </c>
      <c r="C61" s="1" t="s">
        <v>635</v>
      </c>
      <c r="D61">
        <v>95</v>
      </c>
    </row>
    <row r="62" spans="1:4" x14ac:dyDescent="0.25">
      <c r="A62" s="1" t="s">
        <v>636</v>
      </c>
      <c r="B62" s="1" t="s">
        <v>637</v>
      </c>
      <c r="C62" s="1" t="s">
        <v>638</v>
      </c>
      <c r="D62">
        <v>330</v>
      </c>
    </row>
    <row r="63" spans="1:4" x14ac:dyDescent="0.25">
      <c r="A63" s="1" t="s">
        <v>639</v>
      </c>
      <c r="B63" s="1" t="s">
        <v>640</v>
      </c>
      <c r="C63" s="1" t="s">
        <v>641</v>
      </c>
      <c r="D63">
        <v>80</v>
      </c>
    </row>
    <row r="64" spans="1:4" x14ac:dyDescent="0.25">
      <c r="A64" s="1" t="s">
        <v>642</v>
      </c>
      <c r="B64" s="1" t="s">
        <v>643</v>
      </c>
      <c r="C64" s="1" t="s">
        <v>644</v>
      </c>
      <c r="D64">
        <v>130</v>
      </c>
    </row>
    <row r="65" spans="1:4" x14ac:dyDescent="0.25">
      <c r="A65" s="1" t="s">
        <v>645</v>
      </c>
      <c r="B65" s="1" t="s">
        <v>646</v>
      </c>
      <c r="C65" s="1" t="s">
        <v>647</v>
      </c>
      <c r="D65">
        <v>70</v>
      </c>
    </row>
    <row r="66" spans="1:4" x14ac:dyDescent="0.25">
      <c r="A66" s="1" t="s">
        <v>648</v>
      </c>
      <c r="B66" s="1" t="s">
        <v>649</v>
      </c>
      <c r="C66" s="1" t="s">
        <v>650</v>
      </c>
      <c r="D66">
        <v>1250</v>
      </c>
    </row>
    <row r="67" spans="1:4" x14ac:dyDescent="0.25">
      <c r="A67" s="1" t="s">
        <v>651</v>
      </c>
      <c r="B67" s="1" t="s">
        <v>652</v>
      </c>
      <c r="C67" s="1" t="s">
        <v>653</v>
      </c>
      <c r="D67">
        <v>180</v>
      </c>
    </row>
    <row r="68" spans="1:4" x14ac:dyDescent="0.25">
      <c r="A68" s="1" t="s">
        <v>654</v>
      </c>
      <c r="B68" s="1" t="s">
        <v>655</v>
      </c>
      <c r="C68" s="1" t="s">
        <v>573</v>
      </c>
      <c r="D68">
        <v>85</v>
      </c>
    </row>
    <row r="69" spans="1:4" x14ac:dyDescent="0.25">
      <c r="A69" s="1" t="s">
        <v>656</v>
      </c>
      <c r="B69" s="1" t="s">
        <v>657</v>
      </c>
      <c r="C69" s="1" t="s">
        <v>658</v>
      </c>
      <c r="D69">
        <v>140</v>
      </c>
    </row>
    <row r="70" spans="1:4" x14ac:dyDescent="0.25">
      <c r="A70" s="1" t="s">
        <v>659</v>
      </c>
      <c r="B70" s="1" t="s">
        <v>660</v>
      </c>
      <c r="C70" s="1" t="s">
        <v>661</v>
      </c>
      <c r="D70">
        <v>310</v>
      </c>
    </row>
    <row r="71" spans="1:4" x14ac:dyDescent="0.25">
      <c r="A71" s="1" t="s">
        <v>662</v>
      </c>
      <c r="B71" s="1" t="s">
        <v>663</v>
      </c>
      <c r="C71" s="1" t="s">
        <v>664</v>
      </c>
      <c r="D71">
        <v>95</v>
      </c>
    </row>
    <row r="72" spans="1:4" x14ac:dyDescent="0.25">
      <c r="A72" s="1" t="s">
        <v>665</v>
      </c>
      <c r="B72" s="1" t="s">
        <v>666</v>
      </c>
      <c r="C72" s="1" t="s">
        <v>483</v>
      </c>
      <c r="D72">
        <v>85</v>
      </c>
    </row>
    <row r="73" spans="1:4" x14ac:dyDescent="0.25">
      <c r="A73" s="1" t="s">
        <v>667</v>
      </c>
      <c r="B73" s="1" t="s">
        <v>668</v>
      </c>
      <c r="C73" s="1" t="s">
        <v>486</v>
      </c>
      <c r="D73">
        <v>200</v>
      </c>
    </row>
    <row r="74" spans="1:4" x14ac:dyDescent="0.25">
      <c r="A74" s="1" t="s">
        <v>669</v>
      </c>
      <c r="B74" s="1" t="s">
        <v>670</v>
      </c>
      <c r="C74" s="1" t="s">
        <v>480</v>
      </c>
      <c r="D74">
        <v>120</v>
      </c>
    </row>
    <row r="75" spans="1:4" x14ac:dyDescent="0.25">
      <c r="A75" s="1" t="s">
        <v>671</v>
      </c>
      <c r="B75" s="1" t="s">
        <v>672</v>
      </c>
      <c r="C75" s="1" t="s">
        <v>492</v>
      </c>
      <c r="D75">
        <v>1300</v>
      </c>
    </row>
    <row r="76" spans="1:4" x14ac:dyDescent="0.25">
      <c r="A76" s="1" t="s">
        <v>673</v>
      </c>
      <c r="B76" s="1" t="s">
        <v>674</v>
      </c>
      <c r="C76" s="1" t="s">
        <v>489</v>
      </c>
      <c r="D76">
        <v>60</v>
      </c>
    </row>
    <row r="77" spans="1:4" x14ac:dyDescent="0.25">
      <c r="A77" s="1" t="s">
        <v>675</v>
      </c>
      <c r="B77" s="1" t="s">
        <v>676</v>
      </c>
      <c r="C77" s="1" t="s">
        <v>555</v>
      </c>
      <c r="D77">
        <v>340</v>
      </c>
    </row>
    <row r="78" spans="1:4" x14ac:dyDescent="0.25">
      <c r="A78" s="1" t="s">
        <v>677</v>
      </c>
      <c r="B78" s="1" t="s">
        <v>678</v>
      </c>
      <c r="C78" s="1" t="s">
        <v>540</v>
      </c>
      <c r="D78">
        <v>160</v>
      </c>
    </row>
    <row r="79" spans="1:4" x14ac:dyDescent="0.25">
      <c r="A79" s="1" t="s">
        <v>679</v>
      </c>
      <c r="B79" s="1" t="s">
        <v>680</v>
      </c>
      <c r="C79" s="1" t="s">
        <v>543</v>
      </c>
      <c r="D79">
        <v>210</v>
      </c>
    </row>
    <row r="80" spans="1:4" x14ac:dyDescent="0.25">
      <c r="A80" s="1" t="s">
        <v>681</v>
      </c>
      <c r="B80" s="1" t="s">
        <v>682</v>
      </c>
      <c r="C80" s="1" t="s">
        <v>647</v>
      </c>
      <c r="D80">
        <v>70</v>
      </c>
    </row>
    <row r="81" spans="1:4" x14ac:dyDescent="0.25">
      <c r="A81" s="1" t="s">
        <v>683</v>
      </c>
      <c r="B81" s="1" t="s">
        <v>684</v>
      </c>
      <c r="C81" s="1" t="s">
        <v>501</v>
      </c>
      <c r="D81">
        <v>1250</v>
      </c>
    </row>
    <row r="82" spans="1:4" x14ac:dyDescent="0.25">
      <c r="A82" s="1" t="s">
        <v>685</v>
      </c>
      <c r="B82" s="1" t="s">
        <v>686</v>
      </c>
      <c r="C82" s="1" t="s">
        <v>513</v>
      </c>
      <c r="D82">
        <v>80</v>
      </c>
    </row>
    <row r="83" spans="1:4" x14ac:dyDescent="0.25">
      <c r="A83" s="1" t="s">
        <v>687</v>
      </c>
      <c r="B83" s="1" t="s">
        <v>688</v>
      </c>
      <c r="C83" s="1" t="s">
        <v>561</v>
      </c>
      <c r="D83">
        <v>180</v>
      </c>
    </row>
    <row r="84" spans="1:4" x14ac:dyDescent="0.25">
      <c r="A84" s="1" t="s">
        <v>689</v>
      </c>
      <c r="B84" s="1" t="s">
        <v>690</v>
      </c>
      <c r="C84" s="1" t="s">
        <v>567</v>
      </c>
      <c r="D84">
        <v>115</v>
      </c>
    </row>
    <row r="85" spans="1:4" x14ac:dyDescent="0.25">
      <c r="A85" s="1" t="s">
        <v>691</v>
      </c>
      <c r="B85" s="1" t="s">
        <v>692</v>
      </c>
      <c r="C85" s="1" t="s">
        <v>528</v>
      </c>
      <c r="D85">
        <v>320</v>
      </c>
    </row>
    <row r="86" spans="1:4" x14ac:dyDescent="0.25">
      <c r="A86" s="1" t="s">
        <v>693</v>
      </c>
      <c r="B86" s="1" t="s">
        <v>694</v>
      </c>
      <c r="C86" s="1" t="s">
        <v>531</v>
      </c>
      <c r="D86">
        <v>90</v>
      </c>
    </row>
    <row r="87" spans="1:4" x14ac:dyDescent="0.25">
      <c r="A87" s="1" t="s">
        <v>695</v>
      </c>
      <c r="B87" s="1" t="s">
        <v>696</v>
      </c>
      <c r="C87" s="1" t="s">
        <v>546</v>
      </c>
      <c r="D87">
        <v>110</v>
      </c>
    </row>
    <row r="88" spans="1:4" x14ac:dyDescent="0.25">
      <c r="A88" s="1" t="s">
        <v>697</v>
      </c>
      <c r="B88" s="1" t="s">
        <v>698</v>
      </c>
      <c r="C88" s="1" t="s">
        <v>638</v>
      </c>
      <c r="D88">
        <v>330</v>
      </c>
    </row>
    <row r="89" spans="1:4" x14ac:dyDescent="0.25">
      <c r="A89" s="1" t="s">
        <v>699</v>
      </c>
      <c r="B89" s="1" t="s">
        <v>700</v>
      </c>
      <c r="C89" s="1" t="s">
        <v>534</v>
      </c>
      <c r="D89">
        <v>70</v>
      </c>
    </row>
    <row r="90" spans="1:4" x14ac:dyDescent="0.25">
      <c r="A90" s="1" t="s">
        <v>701</v>
      </c>
      <c r="B90" s="1" t="s">
        <v>702</v>
      </c>
      <c r="C90" s="1" t="s">
        <v>579</v>
      </c>
      <c r="D90">
        <v>70</v>
      </c>
    </row>
    <row r="91" spans="1:4" x14ac:dyDescent="0.25">
      <c r="A91" s="1" t="s">
        <v>703</v>
      </c>
      <c r="B91" s="1" t="s">
        <v>704</v>
      </c>
      <c r="C91" s="1" t="s">
        <v>625</v>
      </c>
      <c r="D91">
        <v>190</v>
      </c>
    </row>
    <row r="92" spans="1:4" x14ac:dyDescent="0.25">
      <c r="A92" s="1" t="s">
        <v>705</v>
      </c>
      <c r="B92" s="1" t="s">
        <v>706</v>
      </c>
      <c r="C92" s="1" t="s">
        <v>707</v>
      </c>
      <c r="D92">
        <v>120</v>
      </c>
    </row>
    <row r="93" spans="1:4" x14ac:dyDescent="0.25">
      <c r="A93" s="1" t="s">
        <v>708</v>
      </c>
      <c r="B93" s="1" t="s">
        <v>709</v>
      </c>
      <c r="C93" s="1" t="s">
        <v>576</v>
      </c>
      <c r="D93">
        <v>140</v>
      </c>
    </row>
    <row r="94" spans="1:4" x14ac:dyDescent="0.25">
      <c r="A94" s="1" t="s">
        <v>710</v>
      </c>
      <c r="B94" s="1" t="s">
        <v>711</v>
      </c>
      <c r="C94" s="1" t="s">
        <v>641</v>
      </c>
      <c r="D94">
        <v>80</v>
      </c>
    </row>
    <row r="95" spans="1:4" x14ac:dyDescent="0.25">
      <c r="A95" s="1" t="s">
        <v>712</v>
      </c>
      <c r="B95" s="1" t="s">
        <v>713</v>
      </c>
      <c r="C95" s="1" t="s">
        <v>564</v>
      </c>
      <c r="D95">
        <v>310</v>
      </c>
    </row>
    <row r="96" spans="1:4" x14ac:dyDescent="0.25">
      <c r="A96" s="1" t="s">
        <v>714</v>
      </c>
      <c r="B96" s="1" t="s">
        <v>715</v>
      </c>
      <c r="C96" s="1" t="s">
        <v>635</v>
      </c>
      <c r="D96">
        <v>95</v>
      </c>
    </row>
    <row r="97" spans="1:4" x14ac:dyDescent="0.25">
      <c r="A97" s="1" t="s">
        <v>716</v>
      </c>
      <c r="B97" s="1" t="s">
        <v>717</v>
      </c>
      <c r="C97" s="1" t="s">
        <v>516</v>
      </c>
      <c r="D97">
        <v>340</v>
      </c>
    </row>
    <row r="98" spans="1:4" x14ac:dyDescent="0.25">
      <c r="A98" s="1" t="s">
        <v>718</v>
      </c>
      <c r="B98" s="1" t="s">
        <v>719</v>
      </c>
      <c r="C98" s="1" t="s">
        <v>720</v>
      </c>
      <c r="D98">
        <v>180</v>
      </c>
    </row>
    <row r="99" spans="1:4" x14ac:dyDescent="0.25">
      <c r="A99" s="1" t="s">
        <v>721</v>
      </c>
      <c r="B99" s="1" t="s">
        <v>722</v>
      </c>
      <c r="C99" s="1" t="s">
        <v>723</v>
      </c>
      <c r="D99">
        <v>160</v>
      </c>
    </row>
    <row r="100" spans="1:4" x14ac:dyDescent="0.25">
      <c r="A100" s="1" t="s">
        <v>724</v>
      </c>
      <c r="B100" s="1" t="s">
        <v>725</v>
      </c>
      <c r="C100" s="1" t="s">
        <v>726</v>
      </c>
      <c r="D100">
        <v>85</v>
      </c>
    </row>
    <row r="101" spans="1:4" x14ac:dyDescent="0.25">
      <c r="A101" s="1" t="s">
        <v>727</v>
      </c>
      <c r="B101" s="1" t="s">
        <v>728</v>
      </c>
      <c r="C101" s="1" t="s">
        <v>729</v>
      </c>
      <c r="D101">
        <v>1250</v>
      </c>
    </row>
    <row r="102" spans="1:4" x14ac:dyDescent="0.25">
      <c r="A102" s="1" t="s">
        <v>730</v>
      </c>
      <c r="B102" s="1" t="s">
        <v>731</v>
      </c>
      <c r="C102" s="1" t="s">
        <v>732</v>
      </c>
      <c r="D102">
        <v>115</v>
      </c>
    </row>
    <row r="103" spans="1:4" x14ac:dyDescent="0.25">
      <c r="A103" s="1" t="s">
        <v>733</v>
      </c>
      <c r="B103" s="1" t="s">
        <v>734</v>
      </c>
      <c r="C103" s="1" t="s">
        <v>658</v>
      </c>
      <c r="D103">
        <v>140</v>
      </c>
    </row>
    <row r="104" spans="1:4" x14ac:dyDescent="0.25">
      <c r="A104" s="1" t="s">
        <v>735</v>
      </c>
      <c r="B104" s="1" t="s">
        <v>736</v>
      </c>
      <c r="C104" s="1" t="s">
        <v>737</v>
      </c>
      <c r="D104">
        <v>70</v>
      </c>
    </row>
    <row r="105" spans="1:4" x14ac:dyDescent="0.25">
      <c r="A105" s="1" t="s">
        <v>738</v>
      </c>
      <c r="B105" s="1" t="s">
        <v>739</v>
      </c>
      <c r="C105" s="1" t="s">
        <v>661</v>
      </c>
      <c r="D105">
        <v>310</v>
      </c>
    </row>
    <row r="106" spans="1:4" x14ac:dyDescent="0.25">
      <c r="A106" s="1" t="s">
        <v>740</v>
      </c>
      <c r="B106" s="1" t="s">
        <v>741</v>
      </c>
      <c r="C106" s="1" t="s">
        <v>664</v>
      </c>
      <c r="D106">
        <v>95</v>
      </c>
    </row>
    <row r="107" spans="1:4" x14ac:dyDescent="0.25">
      <c r="A107" s="1" t="s">
        <v>742</v>
      </c>
      <c r="B107" s="1" t="s">
        <v>743</v>
      </c>
      <c r="C107" s="1" t="s">
        <v>480</v>
      </c>
      <c r="D107">
        <v>120</v>
      </c>
    </row>
    <row r="108" spans="1:4" x14ac:dyDescent="0.25">
      <c r="A108" s="1" t="s">
        <v>744</v>
      </c>
      <c r="B108" s="1" t="s">
        <v>745</v>
      </c>
      <c r="C108" s="1" t="s">
        <v>483</v>
      </c>
      <c r="D108">
        <v>85</v>
      </c>
    </row>
    <row r="109" spans="1:4" x14ac:dyDescent="0.25">
      <c r="A109" s="1" t="s">
        <v>746</v>
      </c>
      <c r="B109" s="1" t="s">
        <v>747</v>
      </c>
      <c r="C109" s="1" t="s">
        <v>489</v>
      </c>
      <c r="D109">
        <v>60</v>
      </c>
    </row>
    <row r="110" spans="1:4" x14ac:dyDescent="0.25">
      <c r="A110" s="1" t="s">
        <v>748</v>
      </c>
      <c r="B110" s="1" t="s">
        <v>749</v>
      </c>
      <c r="C110" s="1" t="s">
        <v>492</v>
      </c>
      <c r="D110">
        <v>1300</v>
      </c>
    </row>
    <row r="111" spans="1:4" x14ac:dyDescent="0.25">
      <c r="A111" s="1" t="s">
        <v>750</v>
      </c>
      <c r="B111" s="1" t="s">
        <v>751</v>
      </c>
      <c r="C111" s="1" t="s">
        <v>486</v>
      </c>
      <c r="D111">
        <v>200</v>
      </c>
    </row>
    <row r="112" spans="1:4" x14ac:dyDescent="0.25">
      <c r="A112" s="1" t="s">
        <v>752</v>
      </c>
      <c r="B112" s="1" t="s">
        <v>753</v>
      </c>
      <c r="C112" s="1" t="s">
        <v>555</v>
      </c>
      <c r="D112">
        <v>340</v>
      </c>
    </row>
    <row r="113" spans="1:4" x14ac:dyDescent="0.25">
      <c r="A113" s="1" t="s">
        <v>754</v>
      </c>
      <c r="B113" s="1" t="s">
        <v>755</v>
      </c>
      <c r="C113" s="1" t="s">
        <v>540</v>
      </c>
      <c r="D113">
        <v>160</v>
      </c>
    </row>
    <row r="114" spans="1:4" x14ac:dyDescent="0.25">
      <c r="A114" s="1" t="s">
        <v>756</v>
      </c>
      <c r="B114" s="1" t="s">
        <v>757</v>
      </c>
      <c r="C114" s="1" t="s">
        <v>543</v>
      </c>
      <c r="D114">
        <v>210</v>
      </c>
    </row>
    <row r="115" spans="1:4" x14ac:dyDescent="0.25">
      <c r="A115" s="1" t="s">
        <v>758</v>
      </c>
      <c r="B115" s="1" t="s">
        <v>759</v>
      </c>
      <c r="C115" s="1" t="s">
        <v>647</v>
      </c>
      <c r="D115">
        <v>70</v>
      </c>
    </row>
    <row r="116" spans="1:4" x14ac:dyDescent="0.25">
      <c r="A116" s="1" t="s">
        <v>760</v>
      </c>
      <c r="B116" s="1" t="s">
        <v>761</v>
      </c>
      <c r="C116" s="1" t="s">
        <v>501</v>
      </c>
      <c r="D116">
        <v>1250</v>
      </c>
    </row>
    <row r="117" spans="1:4" x14ac:dyDescent="0.25">
      <c r="A117" s="1" t="s">
        <v>762</v>
      </c>
      <c r="B117" s="1" t="s">
        <v>763</v>
      </c>
      <c r="C117" s="1" t="s">
        <v>561</v>
      </c>
      <c r="D117">
        <v>180</v>
      </c>
    </row>
    <row r="118" spans="1:4" x14ac:dyDescent="0.25">
      <c r="A118" s="1" t="s">
        <v>764</v>
      </c>
      <c r="B118" s="1" t="s">
        <v>765</v>
      </c>
      <c r="C118" s="1" t="s">
        <v>513</v>
      </c>
      <c r="D118">
        <v>80</v>
      </c>
    </row>
    <row r="119" spans="1:4" x14ac:dyDescent="0.25">
      <c r="A119" s="1" t="s">
        <v>766</v>
      </c>
      <c r="B119" s="1" t="s">
        <v>767</v>
      </c>
      <c r="C119" s="1" t="s">
        <v>546</v>
      </c>
      <c r="D119">
        <v>110</v>
      </c>
    </row>
    <row r="120" spans="1:4" x14ac:dyDescent="0.25">
      <c r="A120" s="1" t="s">
        <v>768</v>
      </c>
      <c r="B120" s="1" t="s">
        <v>769</v>
      </c>
      <c r="C120" s="1" t="s">
        <v>528</v>
      </c>
      <c r="D120">
        <v>320</v>
      </c>
    </row>
    <row r="121" spans="1:4" x14ac:dyDescent="0.25">
      <c r="A121" s="1" t="s">
        <v>770</v>
      </c>
      <c r="B121" s="1" t="s">
        <v>771</v>
      </c>
      <c r="C121" s="1" t="s">
        <v>531</v>
      </c>
      <c r="D121">
        <v>90</v>
      </c>
    </row>
    <row r="122" spans="1:4" x14ac:dyDescent="0.25">
      <c r="A122" s="1" t="s">
        <v>772</v>
      </c>
      <c r="B122" s="1" t="s">
        <v>773</v>
      </c>
      <c r="C122" s="1" t="s">
        <v>638</v>
      </c>
      <c r="D122">
        <v>330</v>
      </c>
    </row>
    <row r="123" spans="1:4" x14ac:dyDescent="0.25">
      <c r="A123" s="1" t="s">
        <v>774</v>
      </c>
      <c r="B123" s="1" t="s">
        <v>775</v>
      </c>
      <c r="C123" s="1" t="s">
        <v>567</v>
      </c>
      <c r="D123">
        <v>115</v>
      </c>
    </row>
    <row r="124" spans="1:4" x14ac:dyDescent="0.25">
      <c r="A124" s="1" t="s">
        <v>776</v>
      </c>
      <c r="B124" s="1" t="s">
        <v>777</v>
      </c>
      <c r="C124" s="1" t="s">
        <v>534</v>
      </c>
      <c r="D124">
        <v>70</v>
      </c>
    </row>
    <row r="125" spans="1:4" x14ac:dyDescent="0.25">
      <c r="A125" s="1" t="s">
        <v>778</v>
      </c>
      <c r="B125" s="1" t="s">
        <v>779</v>
      </c>
      <c r="C125" s="1" t="s">
        <v>579</v>
      </c>
      <c r="D125">
        <v>70</v>
      </c>
    </row>
    <row r="126" spans="1:4" x14ac:dyDescent="0.25">
      <c r="A126" s="1" t="s">
        <v>780</v>
      </c>
      <c r="B126" s="1" t="s">
        <v>781</v>
      </c>
      <c r="C126" s="1" t="s">
        <v>625</v>
      </c>
      <c r="D126">
        <v>190</v>
      </c>
    </row>
    <row r="127" spans="1:4" x14ac:dyDescent="0.25">
      <c r="A127" s="1" t="s">
        <v>782</v>
      </c>
      <c r="B127" s="1" t="s">
        <v>783</v>
      </c>
      <c r="C127" s="1" t="s">
        <v>576</v>
      </c>
      <c r="D127">
        <v>140</v>
      </c>
    </row>
    <row r="128" spans="1:4" x14ac:dyDescent="0.25">
      <c r="A128" s="1" t="s">
        <v>784</v>
      </c>
      <c r="B128" s="1" t="s">
        <v>785</v>
      </c>
      <c r="C128" s="1" t="s">
        <v>630</v>
      </c>
      <c r="D128">
        <v>110</v>
      </c>
    </row>
    <row r="129" spans="1:4" x14ac:dyDescent="0.25">
      <c r="A129" s="1" t="s">
        <v>786</v>
      </c>
      <c r="B129" s="1" t="s">
        <v>787</v>
      </c>
      <c r="C129" s="1" t="s">
        <v>564</v>
      </c>
      <c r="D129">
        <v>310</v>
      </c>
    </row>
    <row r="130" spans="1:4" x14ac:dyDescent="0.25">
      <c r="A130" s="1" t="s">
        <v>788</v>
      </c>
      <c r="B130" s="1" t="s">
        <v>789</v>
      </c>
      <c r="C130" s="1" t="s">
        <v>641</v>
      </c>
      <c r="D130">
        <v>80</v>
      </c>
    </row>
    <row r="131" spans="1:4" x14ac:dyDescent="0.25">
      <c r="A131" s="1" t="s">
        <v>790</v>
      </c>
      <c r="B131" s="1" t="s">
        <v>791</v>
      </c>
      <c r="C131" s="1" t="s">
        <v>516</v>
      </c>
      <c r="D131">
        <v>340</v>
      </c>
    </row>
    <row r="132" spans="1:4" x14ac:dyDescent="0.25">
      <c r="A132" s="1" t="s">
        <v>792</v>
      </c>
      <c r="B132" s="1" t="s">
        <v>793</v>
      </c>
      <c r="C132" s="1" t="s">
        <v>732</v>
      </c>
      <c r="D132">
        <v>115</v>
      </c>
    </row>
    <row r="133" spans="1:4" x14ac:dyDescent="0.25">
      <c r="A133" s="1" t="s">
        <v>794</v>
      </c>
      <c r="B133" s="1" t="s">
        <v>795</v>
      </c>
      <c r="C133" s="1" t="s">
        <v>635</v>
      </c>
      <c r="D133">
        <v>95</v>
      </c>
    </row>
    <row r="134" spans="1:4" x14ac:dyDescent="0.25">
      <c r="A134" s="1" t="s">
        <v>796</v>
      </c>
      <c r="B134" s="1" t="s">
        <v>797</v>
      </c>
      <c r="C134" s="1" t="s">
        <v>737</v>
      </c>
      <c r="D134">
        <v>70</v>
      </c>
    </row>
    <row r="135" spans="1:4" x14ac:dyDescent="0.25">
      <c r="A135" s="1" t="s">
        <v>798</v>
      </c>
      <c r="B135" s="1" t="s">
        <v>799</v>
      </c>
      <c r="C135" s="1" t="s">
        <v>483</v>
      </c>
      <c r="D135">
        <v>85</v>
      </c>
    </row>
    <row r="136" spans="1:4" x14ac:dyDescent="0.25">
      <c r="A136" s="1" t="s">
        <v>800</v>
      </c>
      <c r="B136" s="1" t="s">
        <v>801</v>
      </c>
      <c r="C136" s="1" t="s">
        <v>486</v>
      </c>
      <c r="D136">
        <v>200</v>
      </c>
    </row>
    <row r="137" spans="1:4" x14ac:dyDescent="0.25">
      <c r="A137" s="1" t="s">
        <v>802</v>
      </c>
      <c r="B137" s="1" t="s">
        <v>803</v>
      </c>
      <c r="C137" s="1" t="s">
        <v>480</v>
      </c>
      <c r="D137">
        <v>120</v>
      </c>
    </row>
    <row r="138" spans="1:4" x14ac:dyDescent="0.25">
      <c r="A138" s="1" t="s">
        <v>804</v>
      </c>
      <c r="B138" s="1" t="s">
        <v>805</v>
      </c>
      <c r="C138" s="1" t="s">
        <v>492</v>
      </c>
      <c r="D138">
        <v>1300</v>
      </c>
    </row>
    <row r="139" spans="1:4" x14ac:dyDescent="0.25">
      <c r="A139" s="1" t="s">
        <v>806</v>
      </c>
      <c r="B139" s="1" t="s">
        <v>807</v>
      </c>
      <c r="C139" s="1" t="s">
        <v>489</v>
      </c>
      <c r="D139">
        <v>60</v>
      </c>
    </row>
    <row r="140" spans="1:4" x14ac:dyDescent="0.25">
      <c r="A140" s="1" t="s">
        <v>808</v>
      </c>
      <c r="B140" s="1" t="s">
        <v>809</v>
      </c>
      <c r="C140" s="1" t="s">
        <v>555</v>
      </c>
      <c r="D140">
        <v>340</v>
      </c>
    </row>
    <row r="141" spans="1:4" x14ac:dyDescent="0.25">
      <c r="A141" s="1" t="s">
        <v>810</v>
      </c>
      <c r="B141" s="1" t="s">
        <v>811</v>
      </c>
      <c r="C141" s="1" t="s">
        <v>540</v>
      </c>
      <c r="D141">
        <v>160</v>
      </c>
    </row>
    <row r="142" spans="1:4" x14ac:dyDescent="0.25">
      <c r="A142" s="1" t="s">
        <v>812</v>
      </c>
      <c r="B142" s="1" t="s">
        <v>813</v>
      </c>
      <c r="C142" s="1" t="s">
        <v>647</v>
      </c>
      <c r="D142">
        <v>70</v>
      </c>
    </row>
    <row r="143" spans="1:4" x14ac:dyDescent="0.25">
      <c r="A143" s="1" t="s">
        <v>814</v>
      </c>
      <c r="B143" s="1" t="s">
        <v>815</v>
      </c>
      <c r="C143" s="1" t="s">
        <v>501</v>
      </c>
      <c r="D143">
        <v>1250</v>
      </c>
    </row>
    <row r="144" spans="1:4" x14ac:dyDescent="0.25">
      <c r="A144" s="1" t="s">
        <v>816</v>
      </c>
      <c r="B144" s="1" t="s">
        <v>817</v>
      </c>
      <c r="C144" s="1" t="s">
        <v>513</v>
      </c>
      <c r="D144">
        <v>80</v>
      </c>
    </row>
    <row r="145" spans="1:4" x14ac:dyDescent="0.25">
      <c r="A145" s="1" t="s">
        <v>818</v>
      </c>
      <c r="B145" s="1" t="s">
        <v>819</v>
      </c>
      <c r="C145" s="1" t="s">
        <v>561</v>
      </c>
      <c r="D145">
        <v>180</v>
      </c>
    </row>
    <row r="146" spans="1:4" x14ac:dyDescent="0.25">
      <c r="A146" s="1" t="s">
        <v>820</v>
      </c>
      <c r="B146" s="1" t="s">
        <v>821</v>
      </c>
      <c r="C146" s="1" t="s">
        <v>516</v>
      </c>
      <c r="D146">
        <v>330</v>
      </c>
    </row>
    <row r="147" spans="1:4" x14ac:dyDescent="0.25">
      <c r="A147" s="1" t="s">
        <v>822</v>
      </c>
      <c r="B147" s="1" t="s">
        <v>823</v>
      </c>
      <c r="C147" s="1" t="s">
        <v>528</v>
      </c>
      <c r="D147">
        <v>320</v>
      </c>
    </row>
    <row r="148" spans="1:4" x14ac:dyDescent="0.25">
      <c r="A148" s="1" t="s">
        <v>824</v>
      </c>
      <c r="B148" s="1" t="s">
        <v>825</v>
      </c>
      <c r="C148" s="1" t="s">
        <v>531</v>
      </c>
      <c r="D148">
        <v>90</v>
      </c>
    </row>
    <row r="149" spans="1:4" x14ac:dyDescent="0.25">
      <c r="A149" s="1" t="s">
        <v>826</v>
      </c>
      <c r="B149" s="1" t="s">
        <v>634</v>
      </c>
      <c r="C149" s="1" t="s">
        <v>567</v>
      </c>
      <c r="D149">
        <v>115</v>
      </c>
    </row>
    <row r="150" spans="1:4" x14ac:dyDescent="0.25">
      <c r="A150" s="1" t="s">
        <v>827</v>
      </c>
      <c r="B150" s="1" t="s">
        <v>828</v>
      </c>
      <c r="C150" s="1" t="s">
        <v>576</v>
      </c>
      <c r="D150">
        <v>140</v>
      </c>
    </row>
    <row r="151" spans="1:4" x14ac:dyDescent="0.25">
      <c r="A151" s="1" t="s">
        <v>829</v>
      </c>
      <c r="B151" s="1" t="s">
        <v>830</v>
      </c>
      <c r="C151" s="1" t="s">
        <v>534</v>
      </c>
      <c r="D151">
        <v>70</v>
      </c>
    </row>
    <row r="152" spans="1:4" x14ac:dyDescent="0.25">
      <c r="A152" s="1" t="s">
        <v>831</v>
      </c>
      <c r="B152" s="1" t="s">
        <v>832</v>
      </c>
      <c r="C152" s="1" t="s">
        <v>579</v>
      </c>
      <c r="D152">
        <v>70</v>
      </c>
    </row>
    <row r="153" spans="1:4" x14ac:dyDescent="0.25">
      <c r="A153" s="1" t="s">
        <v>833</v>
      </c>
      <c r="B153" s="1" t="s">
        <v>834</v>
      </c>
      <c r="C153" s="1" t="s">
        <v>537</v>
      </c>
      <c r="D153">
        <v>1250</v>
      </c>
    </row>
    <row r="154" spans="1:4" x14ac:dyDescent="0.25">
      <c r="A154" s="1" t="s">
        <v>835</v>
      </c>
      <c r="B154" s="1" t="s">
        <v>836</v>
      </c>
      <c r="C154" s="1" t="s">
        <v>625</v>
      </c>
      <c r="D154">
        <v>190</v>
      </c>
    </row>
    <row r="155" spans="1:4" x14ac:dyDescent="0.25">
      <c r="A155" s="1" t="s">
        <v>837</v>
      </c>
      <c r="B155" s="1" t="s">
        <v>838</v>
      </c>
      <c r="C155" s="1" t="s">
        <v>638</v>
      </c>
      <c r="D155">
        <v>330</v>
      </c>
    </row>
    <row r="156" spans="1:4" x14ac:dyDescent="0.25">
      <c r="A156" s="1" t="s">
        <v>839</v>
      </c>
      <c r="B156" s="1" t="s">
        <v>840</v>
      </c>
      <c r="C156" s="1" t="s">
        <v>723</v>
      </c>
      <c r="D156">
        <v>160</v>
      </c>
    </row>
    <row r="157" spans="1:4" x14ac:dyDescent="0.25">
      <c r="A157" s="1" t="s">
        <v>841</v>
      </c>
      <c r="B157" s="1" t="s">
        <v>842</v>
      </c>
      <c r="C157" s="1" t="s">
        <v>564</v>
      </c>
      <c r="D157">
        <v>310</v>
      </c>
    </row>
    <row r="158" spans="1:4" x14ac:dyDescent="0.25">
      <c r="A158" s="1" t="s">
        <v>843</v>
      </c>
      <c r="B158" s="1" t="s">
        <v>844</v>
      </c>
      <c r="C158" s="1" t="s">
        <v>635</v>
      </c>
      <c r="D158">
        <v>95</v>
      </c>
    </row>
    <row r="159" spans="1:4" x14ac:dyDescent="0.25">
      <c r="A159" s="1" t="s">
        <v>845</v>
      </c>
      <c r="B159" s="1" t="s">
        <v>846</v>
      </c>
      <c r="C159" s="1" t="s">
        <v>641</v>
      </c>
      <c r="D159">
        <v>80</v>
      </c>
    </row>
    <row r="160" spans="1:4" x14ac:dyDescent="0.25">
      <c r="A160" s="1" t="s">
        <v>847</v>
      </c>
      <c r="B160" s="1" t="s">
        <v>848</v>
      </c>
      <c r="C160" s="1" t="s">
        <v>483</v>
      </c>
      <c r="D160">
        <v>85</v>
      </c>
    </row>
    <row r="161" spans="1:4" x14ac:dyDescent="0.25">
      <c r="A161" s="1" t="s">
        <v>849</v>
      </c>
      <c r="B161" s="1" t="s">
        <v>850</v>
      </c>
      <c r="C161" s="1" t="s">
        <v>486</v>
      </c>
      <c r="D161">
        <v>200</v>
      </c>
    </row>
    <row r="162" spans="1:4" x14ac:dyDescent="0.25">
      <c r="A162" s="1" t="s">
        <v>851</v>
      </c>
      <c r="B162" s="1" t="s">
        <v>852</v>
      </c>
      <c r="C162" s="1" t="s">
        <v>480</v>
      </c>
      <c r="D162">
        <v>120</v>
      </c>
    </row>
    <row r="163" spans="1:4" x14ac:dyDescent="0.25">
      <c r="A163" s="1" t="s">
        <v>853</v>
      </c>
      <c r="B163" s="1" t="s">
        <v>854</v>
      </c>
      <c r="C163" s="1" t="s">
        <v>492</v>
      </c>
      <c r="D163">
        <v>1300</v>
      </c>
    </row>
    <row r="164" spans="1:4" x14ac:dyDescent="0.25">
      <c r="A164" s="1" t="s">
        <v>855</v>
      </c>
      <c r="B164" s="1" t="s">
        <v>856</v>
      </c>
      <c r="C164" s="1" t="s">
        <v>489</v>
      </c>
      <c r="D164">
        <v>60</v>
      </c>
    </row>
    <row r="165" spans="1:4" x14ac:dyDescent="0.25">
      <c r="A165" s="1" t="s">
        <v>857</v>
      </c>
      <c r="B165" s="1" t="s">
        <v>652</v>
      </c>
      <c r="C165" s="1" t="s">
        <v>555</v>
      </c>
      <c r="D165">
        <v>340</v>
      </c>
    </row>
    <row r="166" spans="1:4" x14ac:dyDescent="0.25">
      <c r="A166" s="1" t="s">
        <v>858</v>
      </c>
      <c r="B166" s="1" t="s">
        <v>859</v>
      </c>
      <c r="C166" s="1" t="s">
        <v>540</v>
      </c>
      <c r="D166">
        <v>160</v>
      </c>
    </row>
    <row r="167" spans="1:4" x14ac:dyDescent="0.25">
      <c r="A167" s="1" t="s">
        <v>860</v>
      </c>
      <c r="B167" s="1" t="s">
        <v>592</v>
      </c>
      <c r="C167" s="1" t="s">
        <v>543</v>
      </c>
      <c r="D167">
        <v>210</v>
      </c>
    </row>
    <row r="168" spans="1:4" x14ac:dyDescent="0.25">
      <c r="A168" s="1" t="s">
        <v>861</v>
      </c>
      <c r="B168" s="1" t="s">
        <v>862</v>
      </c>
      <c r="C168" s="1" t="s">
        <v>647</v>
      </c>
      <c r="D168">
        <v>70</v>
      </c>
    </row>
    <row r="169" spans="1:4" x14ac:dyDescent="0.25">
      <c r="A169" s="1" t="s">
        <v>863</v>
      </c>
      <c r="B169" s="1" t="s">
        <v>864</v>
      </c>
      <c r="C169" s="1" t="s">
        <v>501</v>
      </c>
      <c r="D169">
        <v>1250</v>
      </c>
    </row>
    <row r="170" spans="1:4" x14ac:dyDescent="0.25">
      <c r="A170" s="1" t="s">
        <v>865</v>
      </c>
      <c r="B170" s="1" t="s">
        <v>866</v>
      </c>
      <c r="C170" s="1" t="s">
        <v>513</v>
      </c>
      <c r="D170">
        <v>80</v>
      </c>
    </row>
    <row r="171" spans="1:4" x14ac:dyDescent="0.25">
      <c r="A171" s="1" t="s">
        <v>867</v>
      </c>
      <c r="B171" s="1" t="s">
        <v>868</v>
      </c>
      <c r="C171" s="1" t="s">
        <v>561</v>
      </c>
      <c r="D171">
        <v>180</v>
      </c>
    </row>
    <row r="172" spans="1:4" x14ac:dyDescent="0.25">
      <c r="A172" s="1" t="s">
        <v>869</v>
      </c>
      <c r="B172" s="1" t="s">
        <v>870</v>
      </c>
      <c r="C172" s="1" t="s">
        <v>528</v>
      </c>
      <c r="D172">
        <v>320</v>
      </c>
    </row>
    <row r="173" spans="1:4" x14ac:dyDescent="0.25">
      <c r="A173" s="1" t="s">
        <v>871</v>
      </c>
      <c r="B173" s="1" t="s">
        <v>872</v>
      </c>
      <c r="C173" s="1" t="s">
        <v>531</v>
      </c>
      <c r="D173">
        <v>90</v>
      </c>
    </row>
    <row r="174" spans="1:4" x14ac:dyDescent="0.25">
      <c r="A174" s="1" t="s">
        <v>873</v>
      </c>
      <c r="B174" s="1" t="s">
        <v>874</v>
      </c>
      <c r="C174" s="1" t="s">
        <v>567</v>
      </c>
      <c r="D174">
        <v>115</v>
      </c>
    </row>
    <row r="175" spans="1:4" x14ac:dyDescent="0.25">
      <c r="A175" s="1" t="s">
        <v>875</v>
      </c>
      <c r="B175" s="1" t="s">
        <v>876</v>
      </c>
      <c r="C175" s="1" t="s">
        <v>576</v>
      </c>
      <c r="D175">
        <v>140</v>
      </c>
    </row>
    <row r="176" spans="1:4" x14ac:dyDescent="0.25">
      <c r="A176" s="1" t="s">
        <v>877</v>
      </c>
      <c r="B176" s="1" t="s">
        <v>878</v>
      </c>
      <c r="C176" s="1" t="s">
        <v>534</v>
      </c>
      <c r="D176">
        <v>70</v>
      </c>
    </row>
    <row r="177" spans="1:4" x14ac:dyDescent="0.25">
      <c r="A177" s="1" t="s">
        <v>879</v>
      </c>
      <c r="B177" s="1" t="s">
        <v>880</v>
      </c>
      <c r="C177" s="1" t="s">
        <v>579</v>
      </c>
      <c r="D177">
        <v>70</v>
      </c>
    </row>
    <row r="178" spans="1:4" x14ac:dyDescent="0.25">
      <c r="A178" s="1" t="s">
        <v>881</v>
      </c>
      <c r="B178" s="1" t="s">
        <v>882</v>
      </c>
      <c r="C178" s="1" t="s">
        <v>537</v>
      </c>
      <c r="D178">
        <v>1250</v>
      </c>
    </row>
    <row r="179" spans="1:4" x14ac:dyDescent="0.25">
      <c r="A179" s="1" t="s">
        <v>883</v>
      </c>
      <c r="B179" s="1" t="s">
        <v>884</v>
      </c>
      <c r="C179" s="1" t="s">
        <v>625</v>
      </c>
      <c r="D179">
        <v>190</v>
      </c>
    </row>
    <row r="180" spans="1:4" x14ac:dyDescent="0.25">
      <c r="A180" s="1" t="s">
        <v>885</v>
      </c>
      <c r="B180" s="1" t="s">
        <v>886</v>
      </c>
      <c r="C180" s="1" t="s">
        <v>516</v>
      </c>
      <c r="D180">
        <v>340</v>
      </c>
    </row>
    <row r="181" spans="1:4" x14ac:dyDescent="0.25">
      <c r="A181" s="1" t="s">
        <v>887</v>
      </c>
      <c r="B181" s="1" t="s">
        <v>888</v>
      </c>
      <c r="C181" s="1" t="s">
        <v>723</v>
      </c>
      <c r="D181">
        <v>160</v>
      </c>
    </row>
    <row r="182" spans="1:4" x14ac:dyDescent="0.25">
      <c r="A182" s="1" t="s">
        <v>889</v>
      </c>
      <c r="B182" s="1" t="s">
        <v>890</v>
      </c>
      <c r="C182" s="1" t="s">
        <v>564</v>
      </c>
      <c r="D182">
        <v>310</v>
      </c>
    </row>
    <row r="183" spans="1:4" x14ac:dyDescent="0.25">
      <c r="A183" s="1" t="s">
        <v>891</v>
      </c>
      <c r="B183" s="1" t="s">
        <v>892</v>
      </c>
      <c r="C183" s="1" t="s">
        <v>635</v>
      </c>
      <c r="D183">
        <v>95</v>
      </c>
    </row>
    <row r="184" spans="1:4" x14ac:dyDescent="0.25">
      <c r="A184" s="1" t="s">
        <v>893</v>
      </c>
      <c r="B184" s="1" t="s">
        <v>894</v>
      </c>
      <c r="C184" s="1" t="s">
        <v>641</v>
      </c>
      <c r="D184">
        <v>80</v>
      </c>
    </row>
    <row r="185" spans="1:4" x14ac:dyDescent="0.25">
      <c r="A185" s="1" t="s">
        <v>895</v>
      </c>
      <c r="B185" s="1" t="s">
        <v>896</v>
      </c>
      <c r="C185" s="1" t="s">
        <v>732</v>
      </c>
      <c r="D185">
        <v>115</v>
      </c>
    </row>
    <row r="186" spans="1:4" x14ac:dyDescent="0.25">
      <c r="A186" s="1" t="s">
        <v>897</v>
      </c>
      <c r="B186" s="1" t="s">
        <v>898</v>
      </c>
      <c r="C186" s="1" t="s">
        <v>737</v>
      </c>
      <c r="D186">
        <v>70</v>
      </c>
    </row>
    <row r="187" spans="1:4" x14ac:dyDescent="0.25">
      <c r="A187" s="1" t="s">
        <v>899</v>
      </c>
      <c r="B187" s="1" t="s">
        <v>900</v>
      </c>
      <c r="C187" s="1" t="s">
        <v>729</v>
      </c>
      <c r="D187">
        <v>1250</v>
      </c>
    </row>
    <row r="188" spans="1:4" x14ac:dyDescent="0.25">
      <c r="A188" s="1" t="s">
        <v>901</v>
      </c>
      <c r="B188" s="1" t="s">
        <v>902</v>
      </c>
      <c r="C188" s="1" t="s">
        <v>653</v>
      </c>
      <c r="D188">
        <v>180</v>
      </c>
    </row>
    <row r="189" spans="1:4" x14ac:dyDescent="0.25">
      <c r="A189" s="1" t="s">
        <v>903</v>
      </c>
      <c r="B189" s="1" t="s">
        <v>904</v>
      </c>
      <c r="C189" s="1" t="s">
        <v>658</v>
      </c>
      <c r="D189">
        <v>140</v>
      </c>
    </row>
    <row r="190" spans="1:4" x14ac:dyDescent="0.25">
      <c r="A190" s="1" t="s">
        <v>905</v>
      </c>
      <c r="B190" s="1" t="s">
        <v>906</v>
      </c>
      <c r="C190" s="1" t="s">
        <v>480</v>
      </c>
      <c r="D190">
        <v>120</v>
      </c>
    </row>
    <row r="191" spans="1:4" x14ac:dyDescent="0.25">
      <c r="A191" s="1" t="s">
        <v>907</v>
      </c>
      <c r="B191" s="1" t="s">
        <v>908</v>
      </c>
      <c r="C191" s="1" t="s">
        <v>483</v>
      </c>
      <c r="D191">
        <v>85</v>
      </c>
    </row>
    <row r="192" spans="1:4" x14ac:dyDescent="0.25">
      <c r="A192" s="1" t="s">
        <v>909</v>
      </c>
      <c r="B192" s="1" t="s">
        <v>910</v>
      </c>
      <c r="C192" s="1" t="s">
        <v>489</v>
      </c>
      <c r="D192">
        <v>60</v>
      </c>
    </row>
    <row r="193" spans="1:4" x14ac:dyDescent="0.25">
      <c r="A193" s="1" t="s">
        <v>911</v>
      </c>
      <c r="B193" s="1" t="s">
        <v>912</v>
      </c>
      <c r="C193" s="1" t="s">
        <v>492</v>
      </c>
      <c r="D193">
        <v>1300</v>
      </c>
    </row>
    <row r="194" spans="1:4" x14ac:dyDescent="0.25">
      <c r="A194" s="1" t="s">
        <v>913</v>
      </c>
      <c r="B194" s="1" t="s">
        <v>914</v>
      </c>
      <c r="C194" s="1" t="s">
        <v>486</v>
      </c>
      <c r="D194">
        <v>200</v>
      </c>
    </row>
    <row r="195" spans="1:4" x14ac:dyDescent="0.25">
      <c r="A195" s="1" t="s">
        <v>915</v>
      </c>
      <c r="B195" s="1" t="s">
        <v>916</v>
      </c>
      <c r="C195" s="1" t="s">
        <v>555</v>
      </c>
      <c r="D195">
        <v>340</v>
      </c>
    </row>
    <row r="196" spans="1:4" x14ac:dyDescent="0.25">
      <c r="A196" s="1" t="s">
        <v>917</v>
      </c>
      <c r="B196" s="1" t="s">
        <v>918</v>
      </c>
      <c r="C196" s="1" t="s">
        <v>540</v>
      </c>
      <c r="D196">
        <v>160</v>
      </c>
    </row>
    <row r="197" spans="1:4" x14ac:dyDescent="0.25">
      <c r="A197" s="1" t="s">
        <v>919</v>
      </c>
      <c r="B197" s="1" t="s">
        <v>920</v>
      </c>
      <c r="C197" s="1" t="s">
        <v>543</v>
      </c>
      <c r="D197">
        <v>210</v>
      </c>
    </row>
    <row r="198" spans="1:4" x14ac:dyDescent="0.25">
      <c r="A198" s="1" t="s">
        <v>921</v>
      </c>
      <c r="B198" s="1" t="s">
        <v>922</v>
      </c>
      <c r="C198" s="1" t="s">
        <v>647</v>
      </c>
      <c r="D198">
        <v>70</v>
      </c>
    </row>
    <row r="199" spans="1:4" x14ac:dyDescent="0.25">
      <c r="A199" s="1" t="s">
        <v>923</v>
      </c>
      <c r="B199" s="1" t="s">
        <v>924</v>
      </c>
      <c r="C199" s="1" t="s">
        <v>501</v>
      </c>
      <c r="D199">
        <v>1250</v>
      </c>
    </row>
    <row r="200" spans="1:4" x14ac:dyDescent="0.25">
      <c r="A200" s="1" t="s">
        <v>925</v>
      </c>
      <c r="B200" s="1" t="s">
        <v>926</v>
      </c>
      <c r="C200" s="1" t="s">
        <v>513</v>
      </c>
      <c r="D200">
        <v>80</v>
      </c>
    </row>
    <row r="201" spans="1:4" x14ac:dyDescent="0.25">
      <c r="A201" s="1" t="s">
        <v>927</v>
      </c>
      <c r="B201" s="1" t="s">
        <v>928</v>
      </c>
      <c r="C201" s="1" t="s">
        <v>561</v>
      </c>
      <c r="D201">
        <v>180</v>
      </c>
    </row>
    <row r="202" spans="1:4" x14ac:dyDescent="0.25">
      <c r="A202" s="1" t="s">
        <v>929</v>
      </c>
      <c r="B202" s="1" t="s">
        <v>930</v>
      </c>
      <c r="C202" s="1" t="s">
        <v>638</v>
      </c>
      <c r="D202">
        <v>330</v>
      </c>
    </row>
    <row r="203" spans="1:4" x14ac:dyDescent="0.25">
      <c r="A203" s="1" t="s">
        <v>931</v>
      </c>
      <c r="B203" s="1" t="s">
        <v>932</v>
      </c>
      <c r="C203" s="1" t="s">
        <v>528</v>
      </c>
      <c r="D203">
        <v>320</v>
      </c>
    </row>
    <row r="204" spans="1:4" x14ac:dyDescent="0.25">
      <c r="A204" s="1" t="s">
        <v>933</v>
      </c>
      <c r="B204" s="1" t="s">
        <v>934</v>
      </c>
      <c r="C204" s="1" t="s">
        <v>531</v>
      </c>
      <c r="D204">
        <v>90</v>
      </c>
    </row>
    <row r="205" spans="1:4" x14ac:dyDescent="0.25">
      <c r="A205" s="1" t="s">
        <v>935</v>
      </c>
      <c r="B205" s="1" t="s">
        <v>936</v>
      </c>
      <c r="C205" s="1" t="s">
        <v>567</v>
      </c>
      <c r="D205">
        <v>115</v>
      </c>
    </row>
    <row r="206" spans="1:4" x14ac:dyDescent="0.25">
      <c r="A206" s="1" t="s">
        <v>937</v>
      </c>
      <c r="B206" s="1" t="s">
        <v>938</v>
      </c>
      <c r="C206" s="1" t="s">
        <v>576</v>
      </c>
      <c r="D206">
        <v>140</v>
      </c>
    </row>
    <row r="207" spans="1:4" x14ac:dyDescent="0.25">
      <c r="A207" s="1" t="s">
        <v>939</v>
      </c>
      <c r="B207" s="1" t="s">
        <v>940</v>
      </c>
      <c r="C207" s="1" t="s">
        <v>534</v>
      </c>
      <c r="D207">
        <v>70</v>
      </c>
    </row>
    <row r="208" spans="1:4" x14ac:dyDescent="0.25">
      <c r="A208" s="1" t="s">
        <v>941</v>
      </c>
      <c r="B208" s="1" t="s">
        <v>942</v>
      </c>
      <c r="C208" s="1" t="s">
        <v>579</v>
      </c>
      <c r="D208">
        <v>70</v>
      </c>
    </row>
    <row r="209" spans="1:4" x14ac:dyDescent="0.25">
      <c r="A209" s="1" t="s">
        <v>943</v>
      </c>
      <c r="B209" s="1" t="s">
        <v>944</v>
      </c>
      <c r="C209" s="1" t="s">
        <v>537</v>
      </c>
      <c r="D209">
        <v>1250</v>
      </c>
    </row>
    <row r="210" spans="1:4" x14ac:dyDescent="0.25">
      <c r="A210" s="1" t="s">
        <v>945</v>
      </c>
      <c r="B210" s="1" t="s">
        <v>946</v>
      </c>
      <c r="C210" s="1" t="s">
        <v>625</v>
      </c>
      <c r="D210">
        <v>190</v>
      </c>
    </row>
    <row r="211" spans="1:4" x14ac:dyDescent="0.25">
      <c r="A211" s="1" t="s">
        <v>947</v>
      </c>
      <c r="B211" s="1" t="s">
        <v>948</v>
      </c>
      <c r="C211" s="1" t="s">
        <v>516</v>
      </c>
      <c r="D211">
        <v>340</v>
      </c>
    </row>
    <row r="212" spans="1:4" x14ac:dyDescent="0.25">
      <c r="A212" s="1" t="s">
        <v>949</v>
      </c>
      <c r="B212" s="1" t="s">
        <v>950</v>
      </c>
      <c r="C212" s="1" t="s">
        <v>641</v>
      </c>
      <c r="D212">
        <v>80</v>
      </c>
    </row>
    <row r="213" spans="1:4" x14ac:dyDescent="0.25">
      <c r="A213" s="1" t="s">
        <v>951</v>
      </c>
      <c r="B213" s="1" t="s">
        <v>952</v>
      </c>
      <c r="C213" s="1" t="s">
        <v>564</v>
      </c>
      <c r="D213">
        <v>310</v>
      </c>
    </row>
    <row r="214" spans="1:4" x14ac:dyDescent="0.25">
      <c r="A214" s="1" t="s">
        <v>953</v>
      </c>
      <c r="B214" s="1" t="s">
        <v>954</v>
      </c>
      <c r="C214" s="1" t="s">
        <v>635</v>
      </c>
      <c r="D214">
        <v>95</v>
      </c>
    </row>
    <row r="215" spans="1:4" x14ac:dyDescent="0.25">
      <c r="A215" s="1" t="s">
        <v>955</v>
      </c>
      <c r="B215" s="1" t="s">
        <v>956</v>
      </c>
      <c r="C215" s="1" t="s">
        <v>957</v>
      </c>
      <c r="D215">
        <v>330</v>
      </c>
    </row>
    <row r="216" spans="1:4" x14ac:dyDescent="0.25">
      <c r="A216" s="1" t="s">
        <v>958</v>
      </c>
      <c r="B216" s="1" t="s">
        <v>959</v>
      </c>
      <c r="C216" s="1" t="s">
        <v>732</v>
      </c>
      <c r="D216">
        <v>115</v>
      </c>
    </row>
    <row r="217" spans="1:4" x14ac:dyDescent="0.25">
      <c r="A217" s="1" t="s">
        <v>960</v>
      </c>
      <c r="B217" s="1" t="s">
        <v>961</v>
      </c>
      <c r="C217" s="1" t="s">
        <v>737</v>
      </c>
      <c r="D217">
        <v>70</v>
      </c>
    </row>
    <row r="218" spans="1:4" x14ac:dyDescent="0.25">
      <c r="A218" s="1" t="s">
        <v>962</v>
      </c>
      <c r="B218" s="1" t="s">
        <v>963</v>
      </c>
      <c r="C218" s="1" t="s">
        <v>653</v>
      </c>
      <c r="D218">
        <v>180</v>
      </c>
    </row>
    <row r="219" spans="1:4" x14ac:dyDescent="0.25">
      <c r="A219" s="1" t="s">
        <v>964</v>
      </c>
      <c r="B219" s="1" t="s">
        <v>965</v>
      </c>
      <c r="C219" s="1" t="s">
        <v>966</v>
      </c>
      <c r="D219">
        <v>85</v>
      </c>
    </row>
    <row r="220" spans="1:4" x14ac:dyDescent="0.25">
      <c r="A220" s="1" t="s">
        <v>967</v>
      </c>
      <c r="B220" s="1" t="s">
        <v>968</v>
      </c>
      <c r="C220" s="1" t="s">
        <v>661</v>
      </c>
      <c r="D220">
        <v>310</v>
      </c>
    </row>
    <row r="221" spans="1:4" x14ac:dyDescent="0.25">
      <c r="A221" s="1" t="s">
        <v>969</v>
      </c>
      <c r="B221" s="1" t="s">
        <v>970</v>
      </c>
      <c r="C221" s="1" t="s">
        <v>664</v>
      </c>
      <c r="D221">
        <v>95</v>
      </c>
    </row>
    <row r="222" spans="1:4" x14ac:dyDescent="0.25">
      <c r="A222" s="1" t="s">
        <v>971</v>
      </c>
      <c r="B222" s="1" t="s">
        <v>972</v>
      </c>
      <c r="C222" s="1" t="s">
        <v>483</v>
      </c>
      <c r="D222">
        <v>85</v>
      </c>
    </row>
    <row r="223" spans="1:4" x14ac:dyDescent="0.25">
      <c r="A223" s="1" t="s">
        <v>973</v>
      </c>
      <c r="B223" s="1" t="s">
        <v>974</v>
      </c>
      <c r="C223" s="1" t="s">
        <v>486</v>
      </c>
      <c r="D223">
        <v>200</v>
      </c>
    </row>
    <row r="224" spans="1:4" x14ac:dyDescent="0.25">
      <c r="A224" s="1" t="s">
        <v>975</v>
      </c>
      <c r="B224" s="1" t="s">
        <v>976</v>
      </c>
      <c r="C224" s="1" t="s">
        <v>480</v>
      </c>
      <c r="D224">
        <v>120</v>
      </c>
    </row>
    <row r="225" spans="1:4" x14ac:dyDescent="0.25">
      <c r="A225" s="1" t="s">
        <v>977</v>
      </c>
      <c r="B225" s="1" t="s">
        <v>978</v>
      </c>
      <c r="C225" s="1" t="s">
        <v>492</v>
      </c>
      <c r="D225">
        <v>1300</v>
      </c>
    </row>
    <row r="226" spans="1:4" x14ac:dyDescent="0.25">
      <c r="A226" s="1" t="s">
        <v>979</v>
      </c>
      <c r="B226" s="1" t="s">
        <v>980</v>
      </c>
      <c r="C226" s="1" t="s">
        <v>489</v>
      </c>
      <c r="D226">
        <v>60</v>
      </c>
    </row>
    <row r="227" spans="1:4" x14ac:dyDescent="0.25">
      <c r="A227" s="1" t="s">
        <v>981</v>
      </c>
      <c r="B227" s="1" t="s">
        <v>982</v>
      </c>
      <c r="C227" s="1" t="s">
        <v>555</v>
      </c>
      <c r="D227">
        <v>340</v>
      </c>
    </row>
    <row r="228" spans="1:4" x14ac:dyDescent="0.25">
      <c r="A228" s="1" t="s">
        <v>983</v>
      </c>
      <c r="B228" s="1" t="s">
        <v>984</v>
      </c>
      <c r="C228" s="1" t="s">
        <v>540</v>
      </c>
      <c r="D228">
        <v>160</v>
      </c>
    </row>
    <row r="229" spans="1:4" x14ac:dyDescent="0.25">
      <c r="A229" s="1" t="s">
        <v>985</v>
      </c>
      <c r="B229" s="1" t="s">
        <v>986</v>
      </c>
      <c r="C229" s="1" t="s">
        <v>543</v>
      </c>
      <c r="D229">
        <v>210</v>
      </c>
    </row>
    <row r="230" spans="1:4" x14ac:dyDescent="0.25">
      <c r="A230" s="1" t="s">
        <v>987</v>
      </c>
      <c r="B230" s="1" t="s">
        <v>988</v>
      </c>
      <c r="C230" s="1" t="s">
        <v>647</v>
      </c>
      <c r="D230">
        <v>70</v>
      </c>
    </row>
    <row r="231" spans="1:4" x14ac:dyDescent="0.25">
      <c r="A231" s="1" t="s">
        <v>989</v>
      </c>
      <c r="B231" s="1" t="s">
        <v>620</v>
      </c>
      <c r="C231" s="1" t="s">
        <v>501</v>
      </c>
      <c r="D231">
        <v>1250</v>
      </c>
    </row>
    <row r="232" spans="1:4" x14ac:dyDescent="0.25">
      <c r="A232" s="1" t="s">
        <v>990</v>
      </c>
      <c r="B232" s="1" t="s">
        <v>991</v>
      </c>
      <c r="C232" s="1" t="s">
        <v>513</v>
      </c>
      <c r="D232">
        <v>80</v>
      </c>
    </row>
    <row r="233" spans="1:4" x14ac:dyDescent="0.25">
      <c r="A233" s="1" t="s">
        <v>992</v>
      </c>
      <c r="B233" s="1" t="s">
        <v>993</v>
      </c>
      <c r="C233" s="1" t="s">
        <v>561</v>
      </c>
      <c r="D233">
        <v>180</v>
      </c>
    </row>
    <row r="234" spans="1:4" x14ac:dyDescent="0.25">
      <c r="A234" s="1" t="s">
        <v>994</v>
      </c>
      <c r="B234" s="1" t="s">
        <v>995</v>
      </c>
      <c r="C234" s="1" t="s">
        <v>638</v>
      </c>
      <c r="D234">
        <v>330</v>
      </c>
    </row>
    <row r="235" spans="1:4" x14ac:dyDescent="0.25">
      <c r="A235" s="1" t="s">
        <v>996</v>
      </c>
      <c r="B235" s="1" t="s">
        <v>997</v>
      </c>
      <c r="C235" s="1" t="s">
        <v>531</v>
      </c>
      <c r="D235">
        <v>90</v>
      </c>
    </row>
    <row r="236" spans="1:4" x14ac:dyDescent="0.25">
      <c r="A236" s="1" t="s">
        <v>998</v>
      </c>
      <c r="B236" s="1" t="s">
        <v>999</v>
      </c>
      <c r="C236" s="1" t="s">
        <v>567</v>
      </c>
      <c r="D236">
        <v>115</v>
      </c>
    </row>
    <row r="237" spans="1:4" x14ac:dyDescent="0.25">
      <c r="A237" s="1" t="s">
        <v>1000</v>
      </c>
      <c r="B237" s="1" t="s">
        <v>1001</v>
      </c>
      <c r="C237" s="1" t="s">
        <v>576</v>
      </c>
      <c r="D237">
        <v>140</v>
      </c>
    </row>
    <row r="238" spans="1:4" x14ac:dyDescent="0.25">
      <c r="A238" s="1" t="s">
        <v>1002</v>
      </c>
      <c r="B238" s="1" t="s">
        <v>1003</v>
      </c>
      <c r="C238" s="1" t="s">
        <v>534</v>
      </c>
      <c r="D238">
        <v>70</v>
      </c>
    </row>
    <row r="239" spans="1:4" x14ac:dyDescent="0.25">
      <c r="A239" s="1" t="s">
        <v>1004</v>
      </c>
      <c r="B239" s="1" t="s">
        <v>1005</v>
      </c>
      <c r="C239" s="1" t="s">
        <v>579</v>
      </c>
      <c r="D239">
        <v>70</v>
      </c>
    </row>
    <row r="240" spans="1:4" x14ac:dyDescent="0.25">
      <c r="A240" s="1" t="s">
        <v>1006</v>
      </c>
      <c r="B240" s="1" t="s">
        <v>1007</v>
      </c>
      <c r="C240" s="1" t="s">
        <v>537</v>
      </c>
      <c r="D240">
        <v>1250</v>
      </c>
    </row>
    <row r="241" spans="1:4" x14ac:dyDescent="0.25">
      <c r="A241" s="1" t="s">
        <v>1008</v>
      </c>
      <c r="B241" s="1" t="s">
        <v>1009</v>
      </c>
      <c r="C241" s="1" t="s">
        <v>625</v>
      </c>
      <c r="D241">
        <v>190</v>
      </c>
    </row>
    <row r="242" spans="1:4" x14ac:dyDescent="0.25">
      <c r="A242" s="1" t="s">
        <v>1010</v>
      </c>
      <c r="B242" s="1" t="s">
        <v>1011</v>
      </c>
      <c r="C242" s="1" t="s">
        <v>516</v>
      </c>
      <c r="D242">
        <v>340</v>
      </c>
    </row>
    <row r="243" spans="1:4" x14ac:dyDescent="0.25">
      <c r="A243" s="1" t="s">
        <v>1012</v>
      </c>
      <c r="B243" s="1" t="s">
        <v>1013</v>
      </c>
      <c r="C243" s="1" t="s">
        <v>723</v>
      </c>
      <c r="D243">
        <v>160</v>
      </c>
    </row>
    <row r="244" spans="1:4" x14ac:dyDescent="0.25">
      <c r="A244" s="1" t="s">
        <v>1014</v>
      </c>
      <c r="B244" s="1" t="s">
        <v>1015</v>
      </c>
      <c r="C244" s="1" t="s">
        <v>564</v>
      </c>
      <c r="D244">
        <v>310</v>
      </c>
    </row>
    <row r="245" spans="1:4" x14ac:dyDescent="0.25">
      <c r="A245" s="1" t="s">
        <v>1016</v>
      </c>
      <c r="B245" s="1" t="s">
        <v>1017</v>
      </c>
      <c r="C245" s="1" t="s">
        <v>635</v>
      </c>
      <c r="D245">
        <v>95</v>
      </c>
    </row>
    <row r="246" spans="1:4" x14ac:dyDescent="0.25">
      <c r="A246" s="1" t="s">
        <v>1018</v>
      </c>
      <c r="B246" s="1" t="s">
        <v>1019</v>
      </c>
      <c r="C246" s="1" t="s">
        <v>957</v>
      </c>
      <c r="D246">
        <v>330</v>
      </c>
    </row>
    <row r="247" spans="1:4" x14ac:dyDescent="0.25">
      <c r="A247" s="1" t="s">
        <v>1020</v>
      </c>
      <c r="B247" s="1" t="s">
        <v>1021</v>
      </c>
      <c r="C247" s="1" t="s">
        <v>641</v>
      </c>
      <c r="D247">
        <v>80</v>
      </c>
    </row>
    <row r="248" spans="1:4" x14ac:dyDescent="0.25">
      <c r="A248" s="1" t="s">
        <v>1022</v>
      </c>
      <c r="B248" s="1" t="s">
        <v>1023</v>
      </c>
      <c r="C248" s="1" t="s">
        <v>486</v>
      </c>
      <c r="D248">
        <v>200</v>
      </c>
    </row>
    <row r="249" spans="1:4" x14ac:dyDescent="0.25">
      <c r="A249" s="1" t="s">
        <v>1024</v>
      </c>
      <c r="B249" s="1" t="s">
        <v>1025</v>
      </c>
      <c r="C249" s="1" t="s">
        <v>480</v>
      </c>
      <c r="D249">
        <v>120</v>
      </c>
    </row>
    <row r="250" spans="1:4" x14ac:dyDescent="0.25">
      <c r="A250" s="1" t="s">
        <v>1026</v>
      </c>
      <c r="B250" s="1" t="s">
        <v>1027</v>
      </c>
      <c r="C250" s="1" t="s">
        <v>492</v>
      </c>
      <c r="D250">
        <v>1300</v>
      </c>
    </row>
    <row r="251" spans="1:4" x14ac:dyDescent="0.25">
      <c r="A251" s="1" t="s">
        <v>1028</v>
      </c>
      <c r="B251" s="1" t="s">
        <v>1029</v>
      </c>
      <c r="C251" s="1" t="s">
        <v>489</v>
      </c>
      <c r="D251">
        <v>60</v>
      </c>
    </row>
    <row r="252" spans="1:4" x14ac:dyDescent="0.25">
      <c r="A252" s="1" t="s">
        <v>1030</v>
      </c>
      <c r="B252" s="1" t="s">
        <v>1031</v>
      </c>
      <c r="C252" s="1" t="s">
        <v>555</v>
      </c>
      <c r="D252">
        <v>340</v>
      </c>
    </row>
    <row r="253" spans="1:4" x14ac:dyDescent="0.25">
      <c r="A253" s="1" t="s">
        <v>1032</v>
      </c>
      <c r="B253" s="1" t="s">
        <v>1033</v>
      </c>
      <c r="C253" s="1" t="s">
        <v>540</v>
      </c>
      <c r="D253">
        <v>160</v>
      </c>
    </row>
    <row r="254" spans="1:4" x14ac:dyDescent="0.25">
      <c r="A254" s="1" t="s">
        <v>1034</v>
      </c>
      <c r="B254" s="1" t="s">
        <v>1035</v>
      </c>
      <c r="C254" s="1" t="s">
        <v>543</v>
      </c>
      <c r="D254">
        <v>210</v>
      </c>
    </row>
    <row r="255" spans="1:4" x14ac:dyDescent="0.25">
      <c r="A255" s="1" t="s">
        <v>1036</v>
      </c>
      <c r="B255" s="1" t="s">
        <v>1037</v>
      </c>
      <c r="C255" s="1" t="s">
        <v>647</v>
      </c>
      <c r="D255">
        <v>70</v>
      </c>
    </row>
    <row r="256" spans="1:4" x14ac:dyDescent="0.25">
      <c r="A256" s="1" t="s">
        <v>1038</v>
      </c>
      <c r="B256" s="1" t="s">
        <v>1039</v>
      </c>
      <c r="C256" s="1" t="s">
        <v>501</v>
      </c>
      <c r="D256">
        <v>1250</v>
      </c>
    </row>
    <row r="257" spans="1:4" x14ac:dyDescent="0.25">
      <c r="A257" s="1" t="s">
        <v>1040</v>
      </c>
      <c r="B257" s="1" t="s">
        <v>1041</v>
      </c>
      <c r="C257" s="1" t="s">
        <v>513</v>
      </c>
      <c r="D257">
        <v>80</v>
      </c>
    </row>
    <row r="258" spans="1:4" x14ac:dyDescent="0.25">
      <c r="A258" s="1" t="s">
        <v>1042</v>
      </c>
      <c r="B258" s="1" t="s">
        <v>1043</v>
      </c>
      <c r="C258" s="1" t="s">
        <v>561</v>
      </c>
      <c r="D258">
        <v>180</v>
      </c>
    </row>
    <row r="259" spans="1:4" x14ac:dyDescent="0.25">
      <c r="A259" s="1" t="s">
        <v>1044</v>
      </c>
      <c r="B259" s="1" t="s">
        <v>1045</v>
      </c>
      <c r="C259" s="1" t="s">
        <v>638</v>
      </c>
      <c r="D259">
        <v>330</v>
      </c>
    </row>
    <row r="260" spans="1:4" x14ac:dyDescent="0.25">
      <c r="A260" s="1" t="s">
        <v>1046</v>
      </c>
      <c r="B260" s="1" t="s">
        <v>1047</v>
      </c>
      <c r="C260" s="1" t="s">
        <v>528</v>
      </c>
      <c r="D260">
        <v>320</v>
      </c>
    </row>
    <row r="261" spans="1:4" x14ac:dyDescent="0.25">
      <c r="A261" s="1" t="s">
        <v>1048</v>
      </c>
      <c r="B261" s="1" t="s">
        <v>1049</v>
      </c>
      <c r="C261" s="1" t="s">
        <v>531</v>
      </c>
      <c r="D261">
        <v>90</v>
      </c>
    </row>
    <row r="262" spans="1:4" x14ac:dyDescent="0.25">
      <c r="A262" s="1" t="s">
        <v>1050</v>
      </c>
      <c r="B262" s="1" t="s">
        <v>1051</v>
      </c>
      <c r="C262" s="1" t="s">
        <v>567</v>
      </c>
      <c r="D262">
        <v>115</v>
      </c>
    </row>
    <row r="263" spans="1:4" x14ac:dyDescent="0.25">
      <c r="A263" s="1" t="s">
        <v>1052</v>
      </c>
      <c r="B263" s="1" t="s">
        <v>1053</v>
      </c>
      <c r="C263" s="1" t="s">
        <v>576</v>
      </c>
      <c r="D263">
        <v>140</v>
      </c>
    </row>
    <row r="264" spans="1:4" x14ac:dyDescent="0.25">
      <c r="A264" s="1" t="s">
        <v>1054</v>
      </c>
      <c r="B264" s="1" t="s">
        <v>1055</v>
      </c>
      <c r="C264" s="1" t="s">
        <v>534</v>
      </c>
      <c r="D264">
        <v>70</v>
      </c>
    </row>
    <row r="265" spans="1:4" x14ac:dyDescent="0.25">
      <c r="A265" s="1" t="s">
        <v>1056</v>
      </c>
      <c r="B265" s="1" t="s">
        <v>1057</v>
      </c>
      <c r="C265" s="1" t="s">
        <v>537</v>
      </c>
      <c r="D265">
        <v>1250</v>
      </c>
    </row>
    <row r="266" spans="1:4" x14ac:dyDescent="0.25">
      <c r="A266" s="1" t="s">
        <v>1058</v>
      </c>
      <c r="B266" s="1" t="s">
        <v>1059</v>
      </c>
      <c r="C266" s="1" t="s">
        <v>625</v>
      </c>
      <c r="D266">
        <v>190</v>
      </c>
    </row>
    <row r="267" spans="1:4" x14ac:dyDescent="0.25">
      <c r="A267" s="1" t="s">
        <v>1060</v>
      </c>
      <c r="B267" s="1" t="s">
        <v>1061</v>
      </c>
      <c r="C267" s="1" t="s">
        <v>516</v>
      </c>
      <c r="D267">
        <v>340</v>
      </c>
    </row>
    <row r="268" spans="1:4" x14ac:dyDescent="0.25">
      <c r="A268" s="1" t="s">
        <v>1062</v>
      </c>
      <c r="B268" s="1" t="s">
        <v>1063</v>
      </c>
      <c r="C268" s="1" t="s">
        <v>723</v>
      </c>
      <c r="D268">
        <v>160</v>
      </c>
    </row>
    <row r="269" spans="1:4" x14ac:dyDescent="0.25">
      <c r="A269" s="1" t="s">
        <v>1064</v>
      </c>
      <c r="B269" s="1" t="s">
        <v>1065</v>
      </c>
      <c r="C269" s="1" t="s">
        <v>564</v>
      </c>
      <c r="D269">
        <v>310</v>
      </c>
    </row>
    <row r="270" spans="1:4" x14ac:dyDescent="0.25">
      <c r="A270" s="1" t="s">
        <v>1066</v>
      </c>
      <c r="B270" s="1" t="s">
        <v>1067</v>
      </c>
      <c r="C270" s="1" t="s">
        <v>635</v>
      </c>
      <c r="D270">
        <v>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1DEE6-D4EB-4989-BA7A-77F9D164235B}">
  <dimension ref="A1:E274"/>
  <sheetViews>
    <sheetView workbookViewId="0"/>
  </sheetViews>
  <sheetFormatPr defaultRowHeight="15" x14ac:dyDescent="0.25"/>
  <cols>
    <col min="1" max="1" width="11.5703125" bestFit="1" customWidth="1"/>
    <col min="2" max="2" width="18.42578125" bestFit="1" customWidth="1"/>
    <col min="3" max="3" width="10" bestFit="1" customWidth="1"/>
    <col min="4" max="4" width="6.7109375" bestFit="1" customWidth="1"/>
    <col min="5" max="5" width="20.5703125" bestFit="1" customWidth="1"/>
  </cols>
  <sheetData>
    <row r="1" spans="1:5" x14ac:dyDescent="0.25">
      <c r="A1" t="s">
        <v>18</v>
      </c>
      <c r="B1" t="s">
        <v>19</v>
      </c>
      <c r="C1" t="s">
        <v>20</v>
      </c>
      <c r="D1" t="s">
        <v>21</v>
      </c>
      <c r="E1" t="s">
        <v>22</v>
      </c>
    </row>
    <row r="2" spans="1:5" x14ac:dyDescent="0.25">
      <c r="A2" s="1" t="s">
        <v>23</v>
      </c>
      <c r="B2" s="1" t="s">
        <v>24</v>
      </c>
      <c r="C2" s="1" t="s">
        <v>25</v>
      </c>
      <c r="D2">
        <v>34</v>
      </c>
      <c r="E2" s="1" t="s">
        <v>26</v>
      </c>
    </row>
    <row r="3" spans="1:5" x14ac:dyDescent="0.25">
      <c r="A3" s="1" t="s">
        <v>27</v>
      </c>
      <c r="B3" s="1" t="s">
        <v>28</v>
      </c>
      <c r="C3" s="1" t="s">
        <v>29</v>
      </c>
      <c r="D3">
        <v>28</v>
      </c>
      <c r="E3" s="1" t="s">
        <v>26</v>
      </c>
    </row>
    <row r="4" spans="1:5" x14ac:dyDescent="0.25">
      <c r="A4" s="1" t="s">
        <v>30</v>
      </c>
      <c r="B4" s="1" t="s">
        <v>31</v>
      </c>
      <c r="C4" s="1" t="s">
        <v>25</v>
      </c>
      <c r="D4">
        <v>52</v>
      </c>
      <c r="E4" s="1" t="s">
        <v>26</v>
      </c>
    </row>
    <row r="5" spans="1:5" x14ac:dyDescent="0.25">
      <c r="A5" s="1" t="s">
        <v>32</v>
      </c>
      <c r="B5" s="1" t="s">
        <v>33</v>
      </c>
      <c r="C5" s="1" t="s">
        <v>29</v>
      </c>
      <c r="D5">
        <v>19</v>
      </c>
      <c r="E5" s="1" t="s">
        <v>26</v>
      </c>
    </row>
    <row r="6" spans="1:5" x14ac:dyDescent="0.25">
      <c r="A6" s="1" t="s">
        <v>34</v>
      </c>
      <c r="B6" s="1" t="s">
        <v>35</v>
      </c>
      <c r="C6" s="1" t="s">
        <v>25</v>
      </c>
      <c r="D6">
        <v>41</v>
      </c>
      <c r="E6" s="1" t="s">
        <v>26</v>
      </c>
    </row>
    <row r="7" spans="1:5" x14ac:dyDescent="0.25">
      <c r="A7" s="1" t="s">
        <v>36</v>
      </c>
      <c r="B7" s="1" t="s">
        <v>37</v>
      </c>
      <c r="C7" s="1" t="s">
        <v>29</v>
      </c>
      <c r="D7">
        <v>33</v>
      </c>
      <c r="E7" s="1" t="s">
        <v>26</v>
      </c>
    </row>
    <row r="8" spans="1:5" x14ac:dyDescent="0.25">
      <c r="A8" s="1" t="s">
        <v>38</v>
      </c>
      <c r="B8" s="1" t="s">
        <v>39</v>
      </c>
      <c r="C8" s="1" t="s">
        <v>25</v>
      </c>
      <c r="D8">
        <v>60</v>
      </c>
      <c r="E8" s="1" t="s">
        <v>26</v>
      </c>
    </row>
    <row r="9" spans="1:5" x14ac:dyDescent="0.25">
      <c r="A9" s="1" t="s">
        <v>40</v>
      </c>
      <c r="B9" s="1" t="s">
        <v>41</v>
      </c>
      <c r="C9" s="1" t="s">
        <v>29</v>
      </c>
      <c r="D9">
        <v>25</v>
      </c>
      <c r="E9" s="1" t="s">
        <v>26</v>
      </c>
    </row>
    <row r="10" spans="1:5" x14ac:dyDescent="0.25">
      <c r="A10" s="1" t="s">
        <v>42</v>
      </c>
      <c r="B10" s="1" t="s">
        <v>43</v>
      </c>
      <c r="C10" s="1" t="s">
        <v>25</v>
      </c>
      <c r="D10">
        <v>12</v>
      </c>
      <c r="E10" s="1" t="s">
        <v>26</v>
      </c>
    </row>
    <row r="11" spans="1:5" x14ac:dyDescent="0.25">
      <c r="A11" s="1" t="s">
        <v>44</v>
      </c>
      <c r="B11" s="1" t="s">
        <v>45</v>
      </c>
      <c r="C11" s="1" t="s">
        <v>29</v>
      </c>
      <c r="D11">
        <v>44</v>
      </c>
      <c r="E11" s="1" t="s">
        <v>26</v>
      </c>
    </row>
    <row r="12" spans="1:5" x14ac:dyDescent="0.25">
      <c r="A12" s="1" t="s">
        <v>46</v>
      </c>
      <c r="B12" s="1" t="s">
        <v>47</v>
      </c>
      <c r="C12" s="1" t="s">
        <v>25</v>
      </c>
      <c r="D12">
        <v>37</v>
      </c>
      <c r="E12" s="1" t="s">
        <v>26</v>
      </c>
    </row>
    <row r="13" spans="1:5" x14ac:dyDescent="0.25">
      <c r="A13" s="1" t="s">
        <v>48</v>
      </c>
      <c r="B13" s="1" t="s">
        <v>49</v>
      </c>
      <c r="C13" s="1" t="s">
        <v>29</v>
      </c>
      <c r="D13">
        <v>29</v>
      </c>
      <c r="E13" s="1" t="s">
        <v>26</v>
      </c>
    </row>
    <row r="14" spans="1:5" x14ac:dyDescent="0.25">
      <c r="A14" s="1" t="s">
        <v>50</v>
      </c>
      <c r="B14" s="1" t="s">
        <v>51</v>
      </c>
      <c r="C14" s="1" t="s">
        <v>25</v>
      </c>
      <c r="D14">
        <v>50</v>
      </c>
      <c r="E14" s="1" t="s">
        <v>26</v>
      </c>
    </row>
    <row r="15" spans="1:5" x14ac:dyDescent="0.25">
      <c r="A15" s="1" t="s">
        <v>52</v>
      </c>
      <c r="B15" s="1" t="s">
        <v>53</v>
      </c>
      <c r="C15" s="1" t="s">
        <v>29</v>
      </c>
      <c r="D15">
        <v>16</v>
      </c>
      <c r="E15" s="1" t="s">
        <v>26</v>
      </c>
    </row>
    <row r="16" spans="1:5" x14ac:dyDescent="0.25">
      <c r="A16" s="1" t="s">
        <v>54</v>
      </c>
      <c r="B16" s="1" t="s">
        <v>55</v>
      </c>
      <c r="C16" s="1" t="s">
        <v>25</v>
      </c>
      <c r="D16">
        <v>61</v>
      </c>
      <c r="E16" s="1" t="s">
        <v>26</v>
      </c>
    </row>
    <row r="17" spans="1:5" x14ac:dyDescent="0.25">
      <c r="A17" s="1" t="s">
        <v>56</v>
      </c>
      <c r="B17" s="1" t="s">
        <v>57</v>
      </c>
      <c r="C17" s="1" t="s">
        <v>29</v>
      </c>
      <c r="D17">
        <v>38</v>
      </c>
      <c r="E17" s="1" t="s">
        <v>26</v>
      </c>
    </row>
    <row r="18" spans="1:5" x14ac:dyDescent="0.25">
      <c r="A18" s="1" t="s">
        <v>58</v>
      </c>
      <c r="B18" s="1" t="s">
        <v>59</v>
      </c>
      <c r="C18" s="1" t="s">
        <v>25</v>
      </c>
      <c r="D18">
        <v>27</v>
      </c>
      <c r="E18" s="1" t="s">
        <v>26</v>
      </c>
    </row>
    <row r="19" spans="1:5" x14ac:dyDescent="0.25">
      <c r="A19" s="1" t="s">
        <v>60</v>
      </c>
      <c r="B19" s="1" t="s">
        <v>61</v>
      </c>
      <c r="C19" s="1" t="s">
        <v>29</v>
      </c>
      <c r="D19">
        <v>45</v>
      </c>
      <c r="E19" s="1" t="s">
        <v>26</v>
      </c>
    </row>
    <row r="20" spans="1:5" x14ac:dyDescent="0.25">
      <c r="A20" s="1" t="s">
        <v>62</v>
      </c>
      <c r="B20" s="1" t="s">
        <v>63</v>
      </c>
      <c r="C20" s="1" t="s">
        <v>25</v>
      </c>
      <c r="D20">
        <v>31</v>
      </c>
      <c r="E20" s="1" t="s">
        <v>26</v>
      </c>
    </row>
    <row r="21" spans="1:5" x14ac:dyDescent="0.25">
      <c r="A21" s="1" t="s">
        <v>64</v>
      </c>
      <c r="B21" s="1" t="s">
        <v>65</v>
      </c>
      <c r="C21" s="1" t="s">
        <v>29</v>
      </c>
      <c r="D21">
        <v>22</v>
      </c>
      <c r="E21" s="1" t="s">
        <v>26</v>
      </c>
    </row>
    <row r="22" spans="1:5" x14ac:dyDescent="0.25">
      <c r="A22" s="1" t="s">
        <v>66</v>
      </c>
      <c r="B22" s="1" t="s">
        <v>67</v>
      </c>
      <c r="C22" s="1" t="s">
        <v>25</v>
      </c>
      <c r="D22">
        <v>55</v>
      </c>
      <c r="E22" s="1" t="s">
        <v>26</v>
      </c>
    </row>
    <row r="23" spans="1:5" x14ac:dyDescent="0.25">
      <c r="A23" s="1" t="s">
        <v>68</v>
      </c>
      <c r="B23" s="1" t="s">
        <v>69</v>
      </c>
      <c r="C23" s="1" t="s">
        <v>29</v>
      </c>
      <c r="D23">
        <v>40</v>
      </c>
      <c r="E23" s="1" t="s">
        <v>26</v>
      </c>
    </row>
    <row r="24" spans="1:5" x14ac:dyDescent="0.25">
      <c r="A24" s="1" t="s">
        <v>70</v>
      </c>
      <c r="B24" s="1" t="s">
        <v>71</v>
      </c>
      <c r="C24" s="1" t="s">
        <v>25</v>
      </c>
      <c r="D24">
        <v>48</v>
      </c>
      <c r="E24" s="1" t="s">
        <v>26</v>
      </c>
    </row>
    <row r="25" spans="1:5" x14ac:dyDescent="0.25">
      <c r="A25" s="1" t="s">
        <v>72</v>
      </c>
      <c r="B25" s="1" t="s">
        <v>73</v>
      </c>
      <c r="C25" s="1" t="s">
        <v>29</v>
      </c>
      <c r="D25">
        <v>18</v>
      </c>
      <c r="E25" s="1" t="s">
        <v>26</v>
      </c>
    </row>
    <row r="26" spans="1:5" x14ac:dyDescent="0.25">
      <c r="A26" s="1" t="s">
        <v>74</v>
      </c>
      <c r="B26" s="1" t="s">
        <v>75</v>
      </c>
      <c r="C26" s="1" t="s">
        <v>25</v>
      </c>
      <c r="D26">
        <v>9</v>
      </c>
      <c r="E26" s="1" t="s">
        <v>26</v>
      </c>
    </row>
    <row r="27" spans="1:5" x14ac:dyDescent="0.25">
      <c r="A27" s="1" t="s">
        <v>76</v>
      </c>
      <c r="B27" s="1" t="s">
        <v>77</v>
      </c>
      <c r="C27" s="1" t="s">
        <v>29</v>
      </c>
      <c r="D27">
        <v>36</v>
      </c>
      <c r="E27" s="1" t="s">
        <v>26</v>
      </c>
    </row>
    <row r="28" spans="1:5" x14ac:dyDescent="0.25">
      <c r="A28" s="1" t="s">
        <v>78</v>
      </c>
      <c r="B28" s="1" t="s">
        <v>79</v>
      </c>
      <c r="C28" s="1" t="s">
        <v>25</v>
      </c>
      <c r="D28">
        <v>43</v>
      </c>
      <c r="E28" s="1" t="s">
        <v>26</v>
      </c>
    </row>
    <row r="29" spans="1:5" x14ac:dyDescent="0.25">
      <c r="A29" s="1" t="s">
        <v>80</v>
      </c>
      <c r="B29" s="1" t="s">
        <v>81</v>
      </c>
      <c r="C29" s="1" t="s">
        <v>29</v>
      </c>
      <c r="D29">
        <v>53</v>
      </c>
      <c r="E29" s="1" t="s">
        <v>26</v>
      </c>
    </row>
    <row r="30" spans="1:5" x14ac:dyDescent="0.25">
      <c r="A30" s="1" t="s">
        <v>82</v>
      </c>
      <c r="B30" s="1" t="s">
        <v>83</v>
      </c>
      <c r="C30" s="1" t="s">
        <v>25</v>
      </c>
      <c r="D30">
        <v>21</v>
      </c>
      <c r="E30" s="1" t="s">
        <v>26</v>
      </c>
    </row>
    <row r="31" spans="1:5" x14ac:dyDescent="0.25">
      <c r="A31" s="1" t="s">
        <v>84</v>
      </c>
      <c r="B31" s="1" t="s">
        <v>85</v>
      </c>
      <c r="C31" s="1" t="s">
        <v>29</v>
      </c>
      <c r="D31">
        <v>64</v>
      </c>
      <c r="E31" s="1" t="s">
        <v>26</v>
      </c>
    </row>
    <row r="32" spans="1:5" x14ac:dyDescent="0.25">
      <c r="A32" s="1" t="s">
        <v>86</v>
      </c>
      <c r="B32" s="1" t="s">
        <v>87</v>
      </c>
      <c r="C32" s="1" t="s">
        <v>25</v>
      </c>
      <c r="D32">
        <v>39</v>
      </c>
      <c r="E32" s="1" t="s">
        <v>26</v>
      </c>
    </row>
    <row r="33" spans="1:5" x14ac:dyDescent="0.25">
      <c r="A33" s="1" t="s">
        <v>88</v>
      </c>
      <c r="B33" s="1" t="s">
        <v>89</v>
      </c>
      <c r="C33" s="1" t="s">
        <v>29</v>
      </c>
      <c r="D33">
        <v>14</v>
      </c>
      <c r="E33" s="1" t="s">
        <v>26</v>
      </c>
    </row>
    <row r="34" spans="1:5" x14ac:dyDescent="0.25">
      <c r="A34" s="1" t="s">
        <v>90</v>
      </c>
      <c r="B34" s="1" t="s">
        <v>91</v>
      </c>
      <c r="C34" s="1" t="s">
        <v>25</v>
      </c>
      <c r="D34">
        <v>46</v>
      </c>
      <c r="E34" s="1" t="s">
        <v>26</v>
      </c>
    </row>
    <row r="35" spans="1:5" x14ac:dyDescent="0.25">
      <c r="A35" s="1" t="s">
        <v>92</v>
      </c>
      <c r="B35" s="1" t="s">
        <v>93</v>
      </c>
      <c r="C35" s="1" t="s">
        <v>29</v>
      </c>
      <c r="D35">
        <v>30</v>
      </c>
      <c r="E35" s="1" t="s">
        <v>26</v>
      </c>
    </row>
    <row r="36" spans="1:5" x14ac:dyDescent="0.25">
      <c r="A36" s="1" t="s">
        <v>94</v>
      </c>
      <c r="B36" s="1" t="s">
        <v>95</v>
      </c>
      <c r="C36" s="1" t="s">
        <v>25</v>
      </c>
      <c r="D36">
        <v>58</v>
      </c>
      <c r="E36" s="1" t="s">
        <v>26</v>
      </c>
    </row>
    <row r="37" spans="1:5" x14ac:dyDescent="0.25">
      <c r="A37" s="1" t="s">
        <v>96</v>
      </c>
      <c r="B37" s="1" t="s">
        <v>97</v>
      </c>
      <c r="C37" s="1" t="s">
        <v>29</v>
      </c>
      <c r="D37">
        <v>29</v>
      </c>
      <c r="E37" s="1" t="s">
        <v>98</v>
      </c>
    </row>
    <row r="38" spans="1:5" x14ac:dyDescent="0.25">
      <c r="A38" s="1" t="s">
        <v>99</v>
      </c>
      <c r="B38" s="1" t="s">
        <v>100</v>
      </c>
      <c r="C38" s="1" t="s">
        <v>25</v>
      </c>
      <c r="D38">
        <v>41</v>
      </c>
      <c r="E38" s="1" t="s">
        <v>98</v>
      </c>
    </row>
    <row r="39" spans="1:5" x14ac:dyDescent="0.25">
      <c r="A39" s="1" t="s">
        <v>101</v>
      </c>
      <c r="B39" s="1" t="s">
        <v>102</v>
      </c>
      <c r="C39" s="1" t="s">
        <v>29</v>
      </c>
      <c r="D39">
        <v>17</v>
      </c>
      <c r="E39" s="1" t="s">
        <v>98</v>
      </c>
    </row>
    <row r="40" spans="1:5" x14ac:dyDescent="0.25">
      <c r="A40" s="1" t="s">
        <v>103</v>
      </c>
      <c r="B40" s="1" t="s">
        <v>104</v>
      </c>
      <c r="C40" s="1" t="s">
        <v>25</v>
      </c>
      <c r="D40">
        <v>53</v>
      </c>
      <c r="E40" s="1" t="s">
        <v>98</v>
      </c>
    </row>
    <row r="41" spans="1:5" x14ac:dyDescent="0.25">
      <c r="A41" s="1" t="s">
        <v>105</v>
      </c>
      <c r="B41" s="1" t="s">
        <v>106</v>
      </c>
      <c r="C41" s="1" t="s">
        <v>29</v>
      </c>
      <c r="D41">
        <v>36</v>
      </c>
      <c r="E41" s="1" t="s">
        <v>98</v>
      </c>
    </row>
    <row r="42" spans="1:5" x14ac:dyDescent="0.25">
      <c r="A42" s="1" t="s">
        <v>107</v>
      </c>
      <c r="B42" s="1" t="s">
        <v>108</v>
      </c>
      <c r="C42" s="1" t="s">
        <v>25</v>
      </c>
      <c r="D42">
        <v>62</v>
      </c>
      <c r="E42" s="1" t="s">
        <v>98</v>
      </c>
    </row>
    <row r="43" spans="1:5" x14ac:dyDescent="0.25">
      <c r="A43" s="1" t="s">
        <v>109</v>
      </c>
      <c r="B43" s="1" t="s">
        <v>110</v>
      </c>
      <c r="C43" s="1" t="s">
        <v>29</v>
      </c>
      <c r="D43">
        <v>24</v>
      </c>
      <c r="E43" s="1" t="s">
        <v>98</v>
      </c>
    </row>
    <row r="44" spans="1:5" x14ac:dyDescent="0.25">
      <c r="A44" s="1" t="s">
        <v>111</v>
      </c>
      <c r="B44" s="1" t="s">
        <v>112</v>
      </c>
      <c r="C44" s="1" t="s">
        <v>25</v>
      </c>
      <c r="D44">
        <v>45</v>
      </c>
      <c r="E44" s="1" t="s">
        <v>98</v>
      </c>
    </row>
    <row r="45" spans="1:5" x14ac:dyDescent="0.25">
      <c r="A45" s="1" t="s">
        <v>113</v>
      </c>
      <c r="B45" s="1" t="s">
        <v>114</v>
      </c>
      <c r="C45" s="1" t="s">
        <v>29</v>
      </c>
      <c r="D45">
        <v>12</v>
      </c>
      <c r="E45" s="1" t="s">
        <v>98</v>
      </c>
    </row>
    <row r="46" spans="1:5" x14ac:dyDescent="0.25">
      <c r="A46" s="1" t="s">
        <v>115</v>
      </c>
      <c r="B46" s="1" t="s">
        <v>116</v>
      </c>
      <c r="C46" s="1" t="s">
        <v>25</v>
      </c>
      <c r="D46">
        <v>38</v>
      </c>
      <c r="E46" s="1" t="s">
        <v>98</v>
      </c>
    </row>
    <row r="47" spans="1:5" x14ac:dyDescent="0.25">
      <c r="A47" s="1" t="s">
        <v>117</v>
      </c>
      <c r="B47" s="1" t="s">
        <v>118</v>
      </c>
      <c r="C47" s="1" t="s">
        <v>29</v>
      </c>
      <c r="D47">
        <v>31</v>
      </c>
      <c r="E47" s="1" t="s">
        <v>98</v>
      </c>
    </row>
    <row r="48" spans="1:5" x14ac:dyDescent="0.25">
      <c r="A48" s="1" t="s">
        <v>119</v>
      </c>
      <c r="B48" s="1" t="s">
        <v>120</v>
      </c>
      <c r="C48" s="1" t="s">
        <v>25</v>
      </c>
      <c r="D48">
        <v>19</v>
      </c>
      <c r="E48" s="1" t="s">
        <v>98</v>
      </c>
    </row>
    <row r="49" spans="1:5" x14ac:dyDescent="0.25">
      <c r="A49" s="1" t="s">
        <v>121</v>
      </c>
      <c r="B49" s="1" t="s">
        <v>122</v>
      </c>
      <c r="C49" s="1" t="s">
        <v>29</v>
      </c>
      <c r="D49">
        <v>55</v>
      </c>
      <c r="E49" s="1" t="s">
        <v>98</v>
      </c>
    </row>
    <row r="50" spans="1:5" x14ac:dyDescent="0.25">
      <c r="A50" s="1" t="s">
        <v>123</v>
      </c>
      <c r="B50" s="1" t="s">
        <v>124</v>
      </c>
      <c r="C50" s="1" t="s">
        <v>25</v>
      </c>
      <c r="D50">
        <v>27</v>
      </c>
      <c r="E50" s="1" t="s">
        <v>98</v>
      </c>
    </row>
    <row r="51" spans="1:5" x14ac:dyDescent="0.25">
      <c r="A51" s="1" t="s">
        <v>125</v>
      </c>
      <c r="B51" s="1" t="s">
        <v>126</v>
      </c>
      <c r="C51" s="1" t="s">
        <v>29</v>
      </c>
      <c r="D51">
        <v>40</v>
      </c>
      <c r="E51" s="1" t="s">
        <v>98</v>
      </c>
    </row>
    <row r="52" spans="1:5" x14ac:dyDescent="0.25">
      <c r="A52" s="1" t="s">
        <v>127</v>
      </c>
      <c r="B52" s="1" t="s">
        <v>128</v>
      </c>
      <c r="C52" s="1" t="s">
        <v>25</v>
      </c>
      <c r="D52">
        <v>64</v>
      </c>
      <c r="E52" s="1" t="s">
        <v>98</v>
      </c>
    </row>
    <row r="53" spans="1:5" x14ac:dyDescent="0.25">
      <c r="A53" s="1" t="s">
        <v>129</v>
      </c>
      <c r="B53" s="1" t="s">
        <v>130</v>
      </c>
      <c r="C53" s="1" t="s">
        <v>29</v>
      </c>
      <c r="D53">
        <v>22</v>
      </c>
      <c r="E53" s="1" t="s">
        <v>98</v>
      </c>
    </row>
    <row r="54" spans="1:5" x14ac:dyDescent="0.25">
      <c r="A54" s="1" t="s">
        <v>131</v>
      </c>
      <c r="B54" s="1" t="s">
        <v>132</v>
      </c>
      <c r="C54" s="1" t="s">
        <v>25</v>
      </c>
      <c r="D54">
        <v>48</v>
      </c>
      <c r="E54" s="1" t="s">
        <v>98</v>
      </c>
    </row>
    <row r="55" spans="1:5" x14ac:dyDescent="0.25">
      <c r="A55" s="1" t="s">
        <v>133</v>
      </c>
      <c r="B55" s="1" t="s">
        <v>134</v>
      </c>
      <c r="C55" s="1" t="s">
        <v>29</v>
      </c>
      <c r="D55">
        <v>15</v>
      </c>
      <c r="E55" s="1" t="s">
        <v>98</v>
      </c>
    </row>
    <row r="56" spans="1:5" x14ac:dyDescent="0.25">
      <c r="A56" s="1" t="s">
        <v>135</v>
      </c>
      <c r="B56" s="1" t="s">
        <v>136</v>
      </c>
      <c r="C56" s="1" t="s">
        <v>25</v>
      </c>
      <c r="D56">
        <v>33</v>
      </c>
      <c r="E56" s="1" t="s">
        <v>98</v>
      </c>
    </row>
    <row r="57" spans="1:5" x14ac:dyDescent="0.25">
      <c r="A57" s="1" t="s">
        <v>137</v>
      </c>
      <c r="B57" s="1" t="s">
        <v>138</v>
      </c>
      <c r="C57" s="1" t="s">
        <v>29</v>
      </c>
      <c r="D57">
        <v>26</v>
      </c>
      <c r="E57" s="1" t="s">
        <v>98</v>
      </c>
    </row>
    <row r="58" spans="1:5" x14ac:dyDescent="0.25">
      <c r="A58" s="1" t="s">
        <v>139</v>
      </c>
      <c r="B58" s="1" t="s">
        <v>140</v>
      </c>
      <c r="C58" s="1" t="s">
        <v>25</v>
      </c>
      <c r="D58">
        <v>50</v>
      </c>
      <c r="E58" s="1" t="s">
        <v>98</v>
      </c>
    </row>
    <row r="59" spans="1:5" x14ac:dyDescent="0.25">
      <c r="A59" s="1" t="s">
        <v>141</v>
      </c>
      <c r="B59" s="1" t="s">
        <v>142</v>
      </c>
      <c r="C59" s="1" t="s">
        <v>29</v>
      </c>
      <c r="D59">
        <v>37</v>
      </c>
      <c r="E59" s="1" t="s">
        <v>98</v>
      </c>
    </row>
    <row r="60" spans="1:5" x14ac:dyDescent="0.25">
      <c r="A60" s="1" t="s">
        <v>143</v>
      </c>
      <c r="B60" s="1" t="s">
        <v>144</v>
      </c>
      <c r="C60" s="1" t="s">
        <v>25</v>
      </c>
      <c r="D60">
        <v>44</v>
      </c>
      <c r="E60" s="1" t="s">
        <v>98</v>
      </c>
    </row>
    <row r="61" spans="1:5" x14ac:dyDescent="0.25">
      <c r="A61" s="1" t="s">
        <v>145</v>
      </c>
      <c r="B61" s="1" t="s">
        <v>146</v>
      </c>
      <c r="C61" s="1" t="s">
        <v>29</v>
      </c>
      <c r="D61">
        <v>18</v>
      </c>
      <c r="E61" s="1" t="s">
        <v>98</v>
      </c>
    </row>
    <row r="62" spans="1:5" x14ac:dyDescent="0.25">
      <c r="A62" s="1" t="s">
        <v>147</v>
      </c>
      <c r="B62" s="1" t="s">
        <v>148</v>
      </c>
      <c r="C62" s="1" t="s">
        <v>25</v>
      </c>
      <c r="D62">
        <v>60</v>
      </c>
      <c r="E62" s="1" t="s">
        <v>98</v>
      </c>
    </row>
    <row r="63" spans="1:5" x14ac:dyDescent="0.25">
      <c r="A63" s="1" t="s">
        <v>149</v>
      </c>
      <c r="B63" s="1" t="s">
        <v>150</v>
      </c>
      <c r="C63" s="1" t="s">
        <v>29</v>
      </c>
      <c r="D63">
        <v>30</v>
      </c>
      <c r="E63" s="1" t="s">
        <v>98</v>
      </c>
    </row>
    <row r="64" spans="1:5" x14ac:dyDescent="0.25">
      <c r="A64" s="1" t="s">
        <v>151</v>
      </c>
      <c r="B64" s="1" t="s">
        <v>152</v>
      </c>
      <c r="C64" s="1" t="s">
        <v>25</v>
      </c>
      <c r="D64">
        <v>42</v>
      </c>
      <c r="E64" s="1" t="s">
        <v>98</v>
      </c>
    </row>
    <row r="65" spans="1:5" x14ac:dyDescent="0.25">
      <c r="A65" s="1" t="s">
        <v>153</v>
      </c>
      <c r="B65" s="1" t="s">
        <v>154</v>
      </c>
      <c r="C65" s="1" t="s">
        <v>29</v>
      </c>
      <c r="D65">
        <v>11</v>
      </c>
      <c r="E65" s="1" t="s">
        <v>98</v>
      </c>
    </row>
    <row r="66" spans="1:5" x14ac:dyDescent="0.25">
      <c r="A66" s="1" t="s">
        <v>155</v>
      </c>
      <c r="B66" s="1" t="s">
        <v>156</v>
      </c>
      <c r="C66" s="1" t="s">
        <v>25</v>
      </c>
      <c r="D66">
        <v>39</v>
      </c>
      <c r="E66" s="1" t="s">
        <v>98</v>
      </c>
    </row>
    <row r="67" spans="1:5" x14ac:dyDescent="0.25">
      <c r="A67" s="1" t="s">
        <v>157</v>
      </c>
      <c r="B67" s="1" t="s">
        <v>85</v>
      </c>
      <c r="C67" s="1" t="s">
        <v>29</v>
      </c>
      <c r="D67">
        <v>65</v>
      </c>
      <c r="E67" s="1" t="s">
        <v>98</v>
      </c>
    </row>
    <row r="68" spans="1:5" x14ac:dyDescent="0.25">
      <c r="A68" s="1" t="s">
        <v>158</v>
      </c>
      <c r="B68" s="1" t="s">
        <v>159</v>
      </c>
      <c r="C68" s="1" t="s">
        <v>25</v>
      </c>
      <c r="D68">
        <v>21</v>
      </c>
      <c r="E68" s="1" t="s">
        <v>98</v>
      </c>
    </row>
    <row r="69" spans="1:5" x14ac:dyDescent="0.25">
      <c r="A69" s="1" t="s">
        <v>160</v>
      </c>
      <c r="B69" s="1" t="s">
        <v>161</v>
      </c>
      <c r="C69" s="1" t="s">
        <v>29</v>
      </c>
      <c r="D69">
        <v>34</v>
      </c>
      <c r="E69" s="1" t="s">
        <v>98</v>
      </c>
    </row>
    <row r="70" spans="1:5" x14ac:dyDescent="0.25">
      <c r="A70" s="1" t="s">
        <v>162</v>
      </c>
      <c r="B70" s="1" t="s">
        <v>163</v>
      </c>
      <c r="C70" s="1" t="s">
        <v>25</v>
      </c>
      <c r="D70">
        <v>47</v>
      </c>
      <c r="E70" s="1" t="s">
        <v>98</v>
      </c>
    </row>
    <row r="71" spans="1:5" x14ac:dyDescent="0.25">
      <c r="A71" s="1" t="s">
        <v>164</v>
      </c>
      <c r="B71" s="1" t="s">
        <v>165</v>
      </c>
      <c r="C71" s="1" t="s">
        <v>29</v>
      </c>
      <c r="D71">
        <v>28</v>
      </c>
      <c r="E71" s="1" t="s">
        <v>98</v>
      </c>
    </row>
    <row r="72" spans="1:5" x14ac:dyDescent="0.25">
      <c r="A72" s="1" t="s">
        <v>166</v>
      </c>
      <c r="B72" s="1" t="s">
        <v>167</v>
      </c>
      <c r="C72" s="1" t="s">
        <v>29</v>
      </c>
      <c r="D72">
        <v>29</v>
      </c>
      <c r="E72" s="1" t="s">
        <v>168</v>
      </c>
    </row>
    <row r="73" spans="1:5" x14ac:dyDescent="0.25">
      <c r="A73" s="1" t="s">
        <v>169</v>
      </c>
      <c r="B73" s="1" t="s">
        <v>170</v>
      </c>
      <c r="C73" s="1" t="s">
        <v>25</v>
      </c>
      <c r="D73">
        <v>41</v>
      </c>
      <c r="E73" s="1" t="s">
        <v>168</v>
      </c>
    </row>
    <row r="74" spans="1:5" x14ac:dyDescent="0.25">
      <c r="A74" s="1" t="s">
        <v>171</v>
      </c>
      <c r="B74" s="1" t="s">
        <v>172</v>
      </c>
      <c r="C74" s="1" t="s">
        <v>29</v>
      </c>
      <c r="D74">
        <v>18</v>
      </c>
      <c r="E74" s="1" t="s">
        <v>168</v>
      </c>
    </row>
    <row r="75" spans="1:5" x14ac:dyDescent="0.25">
      <c r="A75" s="1" t="s">
        <v>173</v>
      </c>
      <c r="B75" s="1" t="s">
        <v>174</v>
      </c>
      <c r="C75" s="1" t="s">
        <v>25</v>
      </c>
      <c r="D75">
        <v>52</v>
      </c>
      <c r="E75" s="1" t="s">
        <v>168</v>
      </c>
    </row>
    <row r="76" spans="1:5" x14ac:dyDescent="0.25">
      <c r="A76" s="1" t="s">
        <v>175</v>
      </c>
      <c r="B76" s="1" t="s">
        <v>176</v>
      </c>
      <c r="C76" s="1" t="s">
        <v>29</v>
      </c>
      <c r="D76">
        <v>33</v>
      </c>
      <c r="E76" s="1" t="s">
        <v>168</v>
      </c>
    </row>
    <row r="77" spans="1:5" x14ac:dyDescent="0.25">
      <c r="A77" s="1" t="s">
        <v>177</v>
      </c>
      <c r="B77" s="1" t="s">
        <v>178</v>
      </c>
      <c r="C77" s="1" t="s">
        <v>25</v>
      </c>
      <c r="D77">
        <v>60</v>
      </c>
      <c r="E77" s="1" t="s">
        <v>168</v>
      </c>
    </row>
    <row r="78" spans="1:5" x14ac:dyDescent="0.25">
      <c r="A78" s="1" t="s">
        <v>179</v>
      </c>
      <c r="B78" s="1" t="s">
        <v>180</v>
      </c>
      <c r="C78" s="1" t="s">
        <v>29</v>
      </c>
      <c r="D78">
        <v>24</v>
      </c>
      <c r="E78" s="1" t="s">
        <v>168</v>
      </c>
    </row>
    <row r="79" spans="1:5" x14ac:dyDescent="0.25">
      <c r="A79" s="1" t="s">
        <v>181</v>
      </c>
      <c r="B79" s="1" t="s">
        <v>182</v>
      </c>
      <c r="C79" s="1" t="s">
        <v>25</v>
      </c>
      <c r="D79">
        <v>45</v>
      </c>
      <c r="E79" s="1" t="s">
        <v>168</v>
      </c>
    </row>
    <row r="80" spans="1:5" x14ac:dyDescent="0.25">
      <c r="A80" s="1" t="s">
        <v>183</v>
      </c>
      <c r="B80" s="1" t="s">
        <v>184</v>
      </c>
      <c r="C80" s="1" t="s">
        <v>29</v>
      </c>
      <c r="D80">
        <v>12</v>
      </c>
      <c r="E80" s="1" t="s">
        <v>168</v>
      </c>
    </row>
    <row r="81" spans="1:5" x14ac:dyDescent="0.25">
      <c r="A81" s="1" t="s">
        <v>185</v>
      </c>
      <c r="B81" s="1" t="s">
        <v>186</v>
      </c>
      <c r="C81" s="1" t="s">
        <v>25</v>
      </c>
      <c r="D81">
        <v>37</v>
      </c>
      <c r="E81" s="1" t="s">
        <v>168</v>
      </c>
    </row>
    <row r="82" spans="1:5" x14ac:dyDescent="0.25">
      <c r="A82" s="1" t="s">
        <v>187</v>
      </c>
      <c r="B82" s="1" t="s">
        <v>188</v>
      </c>
      <c r="C82" s="1" t="s">
        <v>29</v>
      </c>
      <c r="D82">
        <v>28</v>
      </c>
      <c r="E82" s="1" t="s">
        <v>168</v>
      </c>
    </row>
    <row r="83" spans="1:5" x14ac:dyDescent="0.25">
      <c r="A83" s="1" t="s">
        <v>189</v>
      </c>
      <c r="B83" s="1" t="s">
        <v>190</v>
      </c>
      <c r="C83" s="1" t="s">
        <v>25</v>
      </c>
      <c r="D83">
        <v>50</v>
      </c>
      <c r="E83" s="1" t="s">
        <v>168</v>
      </c>
    </row>
    <row r="84" spans="1:5" x14ac:dyDescent="0.25">
      <c r="A84" s="1" t="s">
        <v>191</v>
      </c>
      <c r="B84" s="1" t="s">
        <v>192</v>
      </c>
      <c r="C84" s="1" t="s">
        <v>29</v>
      </c>
      <c r="D84">
        <v>16</v>
      </c>
      <c r="E84" s="1" t="s">
        <v>168</v>
      </c>
    </row>
    <row r="85" spans="1:5" x14ac:dyDescent="0.25">
      <c r="A85" s="1" t="s">
        <v>193</v>
      </c>
      <c r="B85" s="1" t="s">
        <v>194</v>
      </c>
      <c r="C85" s="1" t="s">
        <v>25</v>
      </c>
      <c r="D85">
        <v>44</v>
      </c>
      <c r="E85" s="1" t="s">
        <v>168</v>
      </c>
    </row>
    <row r="86" spans="1:5" x14ac:dyDescent="0.25">
      <c r="A86" s="1" t="s">
        <v>195</v>
      </c>
      <c r="B86" s="1" t="s">
        <v>196</v>
      </c>
      <c r="C86" s="1" t="s">
        <v>29</v>
      </c>
      <c r="D86">
        <v>31</v>
      </c>
      <c r="E86" s="1" t="s">
        <v>168</v>
      </c>
    </row>
    <row r="87" spans="1:5" x14ac:dyDescent="0.25">
      <c r="A87" s="1" t="s">
        <v>197</v>
      </c>
      <c r="B87" s="1" t="s">
        <v>198</v>
      </c>
      <c r="C87" s="1" t="s">
        <v>25</v>
      </c>
      <c r="D87">
        <v>27</v>
      </c>
      <c r="E87" s="1" t="s">
        <v>168</v>
      </c>
    </row>
    <row r="88" spans="1:5" x14ac:dyDescent="0.25">
      <c r="A88" s="1" t="s">
        <v>199</v>
      </c>
      <c r="B88" s="1" t="s">
        <v>200</v>
      </c>
      <c r="C88" s="1" t="s">
        <v>29</v>
      </c>
      <c r="D88">
        <v>55</v>
      </c>
      <c r="E88" s="1" t="s">
        <v>168</v>
      </c>
    </row>
    <row r="89" spans="1:5" x14ac:dyDescent="0.25">
      <c r="A89" s="1" t="s">
        <v>201</v>
      </c>
      <c r="B89" s="1" t="s">
        <v>202</v>
      </c>
      <c r="C89" s="1" t="s">
        <v>25</v>
      </c>
      <c r="D89">
        <v>38</v>
      </c>
      <c r="E89" s="1" t="s">
        <v>168</v>
      </c>
    </row>
    <row r="90" spans="1:5" x14ac:dyDescent="0.25">
      <c r="A90" s="1" t="s">
        <v>203</v>
      </c>
      <c r="B90" s="1" t="s">
        <v>204</v>
      </c>
      <c r="C90" s="1" t="s">
        <v>29</v>
      </c>
      <c r="D90">
        <v>21</v>
      </c>
      <c r="E90" s="1" t="s">
        <v>168</v>
      </c>
    </row>
    <row r="91" spans="1:5" x14ac:dyDescent="0.25">
      <c r="A91" s="1" t="s">
        <v>205</v>
      </c>
      <c r="B91" s="1" t="s">
        <v>206</v>
      </c>
      <c r="C91" s="1" t="s">
        <v>25</v>
      </c>
      <c r="D91">
        <v>64</v>
      </c>
      <c r="E91" s="1" t="s">
        <v>168</v>
      </c>
    </row>
    <row r="92" spans="1:5" x14ac:dyDescent="0.25">
      <c r="A92" s="1" t="s">
        <v>207</v>
      </c>
      <c r="B92" s="1" t="s">
        <v>208</v>
      </c>
      <c r="C92" s="1" t="s">
        <v>29</v>
      </c>
      <c r="D92">
        <v>19</v>
      </c>
      <c r="E92" s="1" t="s">
        <v>168</v>
      </c>
    </row>
    <row r="93" spans="1:5" x14ac:dyDescent="0.25">
      <c r="A93" s="1" t="s">
        <v>209</v>
      </c>
      <c r="B93" s="1" t="s">
        <v>210</v>
      </c>
      <c r="C93" s="1" t="s">
        <v>25</v>
      </c>
      <c r="D93">
        <v>48</v>
      </c>
      <c r="E93" s="1" t="s">
        <v>168</v>
      </c>
    </row>
    <row r="94" spans="1:5" x14ac:dyDescent="0.25">
      <c r="A94" s="1" t="s">
        <v>211</v>
      </c>
      <c r="B94" s="1" t="s">
        <v>212</v>
      </c>
      <c r="C94" s="1" t="s">
        <v>29</v>
      </c>
      <c r="D94">
        <v>34</v>
      </c>
      <c r="E94" s="1" t="s">
        <v>168</v>
      </c>
    </row>
    <row r="95" spans="1:5" x14ac:dyDescent="0.25">
      <c r="A95" s="1" t="s">
        <v>213</v>
      </c>
      <c r="B95" s="1" t="s">
        <v>214</v>
      </c>
      <c r="C95" s="1" t="s">
        <v>25</v>
      </c>
      <c r="D95">
        <v>40</v>
      </c>
      <c r="E95" s="1" t="s">
        <v>168</v>
      </c>
    </row>
    <row r="96" spans="1:5" x14ac:dyDescent="0.25">
      <c r="A96" s="1" t="s">
        <v>215</v>
      </c>
      <c r="B96" s="1" t="s">
        <v>216</v>
      </c>
      <c r="C96" s="1" t="s">
        <v>29</v>
      </c>
      <c r="D96">
        <v>15</v>
      </c>
      <c r="E96" s="1" t="s">
        <v>168</v>
      </c>
    </row>
    <row r="97" spans="1:5" x14ac:dyDescent="0.25">
      <c r="A97" s="1" t="s">
        <v>217</v>
      </c>
      <c r="B97" s="1" t="s">
        <v>218</v>
      </c>
      <c r="C97" s="1" t="s">
        <v>25</v>
      </c>
      <c r="D97">
        <v>58</v>
      </c>
      <c r="E97" s="1" t="s">
        <v>168</v>
      </c>
    </row>
    <row r="98" spans="1:5" x14ac:dyDescent="0.25">
      <c r="A98" s="1" t="s">
        <v>219</v>
      </c>
      <c r="B98" s="1" t="s">
        <v>220</v>
      </c>
      <c r="C98" s="1" t="s">
        <v>29</v>
      </c>
      <c r="D98">
        <v>26</v>
      </c>
      <c r="E98" s="1" t="s">
        <v>168</v>
      </c>
    </row>
    <row r="99" spans="1:5" x14ac:dyDescent="0.25">
      <c r="A99" s="1" t="s">
        <v>221</v>
      </c>
      <c r="B99" s="1" t="s">
        <v>222</v>
      </c>
      <c r="C99" s="1" t="s">
        <v>25</v>
      </c>
      <c r="D99">
        <v>43</v>
      </c>
      <c r="E99" s="1" t="s">
        <v>168</v>
      </c>
    </row>
    <row r="100" spans="1:5" x14ac:dyDescent="0.25">
      <c r="A100" s="1" t="s">
        <v>223</v>
      </c>
      <c r="B100" s="1" t="s">
        <v>224</v>
      </c>
      <c r="C100" s="1" t="s">
        <v>29</v>
      </c>
      <c r="D100">
        <v>11</v>
      </c>
      <c r="E100" s="1" t="s">
        <v>168</v>
      </c>
    </row>
    <row r="101" spans="1:5" x14ac:dyDescent="0.25">
      <c r="A101" s="1" t="s">
        <v>225</v>
      </c>
      <c r="B101" s="1" t="s">
        <v>226</v>
      </c>
      <c r="C101" s="1" t="s">
        <v>25</v>
      </c>
      <c r="D101">
        <v>36</v>
      </c>
      <c r="E101" s="1" t="s">
        <v>168</v>
      </c>
    </row>
    <row r="102" spans="1:5" x14ac:dyDescent="0.25">
      <c r="A102" s="1" t="s">
        <v>227</v>
      </c>
      <c r="B102" s="1" t="s">
        <v>228</v>
      </c>
      <c r="C102" s="1" t="s">
        <v>29</v>
      </c>
      <c r="D102">
        <v>65</v>
      </c>
      <c r="E102" s="1" t="s">
        <v>168</v>
      </c>
    </row>
    <row r="103" spans="1:5" x14ac:dyDescent="0.25">
      <c r="A103" s="1" t="s">
        <v>229</v>
      </c>
      <c r="B103" s="1" t="s">
        <v>230</v>
      </c>
      <c r="C103" s="1" t="s">
        <v>25</v>
      </c>
      <c r="D103">
        <v>22</v>
      </c>
      <c r="E103" s="1" t="s">
        <v>168</v>
      </c>
    </row>
    <row r="104" spans="1:5" x14ac:dyDescent="0.25">
      <c r="A104" s="1" t="s">
        <v>231</v>
      </c>
      <c r="B104" s="1" t="s">
        <v>232</v>
      </c>
      <c r="C104" s="1" t="s">
        <v>29</v>
      </c>
      <c r="D104">
        <v>30</v>
      </c>
      <c r="E104" s="1" t="s">
        <v>168</v>
      </c>
    </row>
    <row r="105" spans="1:5" x14ac:dyDescent="0.25">
      <c r="A105" s="1" t="s">
        <v>233</v>
      </c>
      <c r="B105" s="1" t="s">
        <v>234</v>
      </c>
      <c r="C105" s="1" t="s">
        <v>25</v>
      </c>
      <c r="D105">
        <v>47</v>
      </c>
      <c r="E105" s="1" t="s">
        <v>168</v>
      </c>
    </row>
    <row r="106" spans="1:5" x14ac:dyDescent="0.25">
      <c r="A106" s="1" t="s">
        <v>235</v>
      </c>
      <c r="B106" s="1" t="s">
        <v>236</v>
      </c>
      <c r="C106" s="1" t="s">
        <v>29</v>
      </c>
      <c r="D106">
        <v>39</v>
      </c>
      <c r="E106" s="1" t="s">
        <v>168</v>
      </c>
    </row>
    <row r="107" spans="1:5" x14ac:dyDescent="0.25">
      <c r="A107" s="1" t="s">
        <v>237</v>
      </c>
      <c r="B107" s="1" t="s">
        <v>24</v>
      </c>
      <c r="C107" s="1" t="s">
        <v>25</v>
      </c>
      <c r="D107">
        <v>34</v>
      </c>
      <c r="E107" s="1" t="s">
        <v>238</v>
      </c>
    </row>
    <row r="108" spans="1:5" x14ac:dyDescent="0.25">
      <c r="A108" s="1" t="s">
        <v>239</v>
      </c>
      <c r="B108" s="1" t="s">
        <v>240</v>
      </c>
      <c r="C108" s="1" t="s">
        <v>29</v>
      </c>
      <c r="D108">
        <v>28</v>
      </c>
      <c r="E108" s="1" t="s">
        <v>238</v>
      </c>
    </row>
    <row r="109" spans="1:5" x14ac:dyDescent="0.25">
      <c r="A109" s="1" t="s">
        <v>241</v>
      </c>
      <c r="B109" s="1" t="s">
        <v>31</v>
      </c>
      <c r="C109" s="1" t="s">
        <v>25</v>
      </c>
      <c r="D109">
        <v>52</v>
      </c>
      <c r="E109" s="1" t="s">
        <v>238</v>
      </c>
    </row>
    <row r="110" spans="1:5" x14ac:dyDescent="0.25">
      <c r="A110" s="1" t="s">
        <v>242</v>
      </c>
      <c r="B110" s="1" t="s">
        <v>243</v>
      </c>
      <c r="C110" s="1" t="s">
        <v>29</v>
      </c>
      <c r="D110">
        <v>19</v>
      </c>
      <c r="E110" s="1" t="s">
        <v>238</v>
      </c>
    </row>
    <row r="111" spans="1:5" x14ac:dyDescent="0.25">
      <c r="A111" s="1" t="s">
        <v>244</v>
      </c>
      <c r="B111" s="1" t="s">
        <v>35</v>
      </c>
      <c r="C111" s="1" t="s">
        <v>25</v>
      </c>
      <c r="D111">
        <v>41</v>
      </c>
      <c r="E111" s="1" t="s">
        <v>238</v>
      </c>
    </row>
    <row r="112" spans="1:5" x14ac:dyDescent="0.25">
      <c r="A112" s="1" t="s">
        <v>245</v>
      </c>
      <c r="B112" s="1" t="s">
        <v>37</v>
      </c>
      <c r="C112" s="1" t="s">
        <v>29</v>
      </c>
      <c r="D112">
        <v>33</v>
      </c>
      <c r="E112" s="1" t="s">
        <v>238</v>
      </c>
    </row>
    <row r="113" spans="1:5" x14ac:dyDescent="0.25">
      <c r="A113" s="1" t="s">
        <v>246</v>
      </c>
      <c r="B113" s="1" t="s">
        <v>39</v>
      </c>
      <c r="C113" s="1" t="s">
        <v>25</v>
      </c>
      <c r="D113">
        <v>60</v>
      </c>
      <c r="E113" s="1" t="s">
        <v>238</v>
      </c>
    </row>
    <row r="114" spans="1:5" x14ac:dyDescent="0.25">
      <c r="A114" s="1" t="s">
        <v>247</v>
      </c>
      <c r="B114" s="1" t="s">
        <v>41</v>
      </c>
      <c r="C114" s="1" t="s">
        <v>29</v>
      </c>
      <c r="D114">
        <v>25</v>
      </c>
      <c r="E114" s="1" t="s">
        <v>238</v>
      </c>
    </row>
    <row r="115" spans="1:5" x14ac:dyDescent="0.25">
      <c r="A115" s="1" t="s">
        <v>248</v>
      </c>
      <c r="B115" s="1" t="s">
        <v>43</v>
      </c>
      <c r="C115" s="1" t="s">
        <v>25</v>
      </c>
      <c r="D115">
        <v>12</v>
      </c>
      <c r="E115" s="1" t="s">
        <v>238</v>
      </c>
    </row>
    <row r="116" spans="1:5" x14ac:dyDescent="0.25">
      <c r="A116" s="1" t="s">
        <v>249</v>
      </c>
      <c r="B116" s="1" t="s">
        <v>45</v>
      </c>
      <c r="C116" s="1" t="s">
        <v>29</v>
      </c>
      <c r="D116">
        <v>44</v>
      </c>
      <c r="E116" s="1" t="s">
        <v>238</v>
      </c>
    </row>
    <row r="117" spans="1:5" x14ac:dyDescent="0.25">
      <c r="A117" s="1" t="s">
        <v>250</v>
      </c>
      <c r="B117" s="1" t="s">
        <v>47</v>
      </c>
      <c r="C117" s="1" t="s">
        <v>25</v>
      </c>
      <c r="D117">
        <v>37</v>
      </c>
      <c r="E117" s="1" t="s">
        <v>238</v>
      </c>
    </row>
    <row r="118" spans="1:5" x14ac:dyDescent="0.25">
      <c r="A118" s="1" t="s">
        <v>251</v>
      </c>
      <c r="B118" s="1" t="s">
        <v>49</v>
      </c>
      <c r="C118" s="1" t="s">
        <v>29</v>
      </c>
      <c r="D118">
        <v>29</v>
      </c>
      <c r="E118" s="1" t="s">
        <v>238</v>
      </c>
    </row>
    <row r="119" spans="1:5" x14ac:dyDescent="0.25">
      <c r="A119" s="1" t="s">
        <v>252</v>
      </c>
      <c r="B119" s="1" t="s">
        <v>51</v>
      </c>
      <c r="C119" s="1" t="s">
        <v>25</v>
      </c>
      <c r="D119">
        <v>50</v>
      </c>
      <c r="E119" s="1" t="s">
        <v>238</v>
      </c>
    </row>
    <row r="120" spans="1:5" x14ac:dyDescent="0.25">
      <c r="A120" s="1" t="s">
        <v>253</v>
      </c>
      <c r="B120" s="1" t="s">
        <v>53</v>
      </c>
      <c r="C120" s="1" t="s">
        <v>29</v>
      </c>
      <c r="D120">
        <v>16</v>
      </c>
      <c r="E120" s="1" t="s">
        <v>238</v>
      </c>
    </row>
    <row r="121" spans="1:5" x14ac:dyDescent="0.25">
      <c r="A121" s="1" t="s">
        <v>254</v>
      </c>
      <c r="B121" s="1" t="s">
        <v>55</v>
      </c>
      <c r="C121" s="1" t="s">
        <v>25</v>
      </c>
      <c r="D121">
        <v>61</v>
      </c>
      <c r="E121" s="1" t="s">
        <v>238</v>
      </c>
    </row>
    <row r="122" spans="1:5" x14ac:dyDescent="0.25">
      <c r="A122" s="1" t="s">
        <v>255</v>
      </c>
      <c r="B122" s="1" t="s">
        <v>57</v>
      </c>
      <c r="C122" s="1" t="s">
        <v>29</v>
      </c>
      <c r="D122">
        <v>38</v>
      </c>
      <c r="E122" s="1" t="s">
        <v>238</v>
      </c>
    </row>
    <row r="123" spans="1:5" x14ac:dyDescent="0.25">
      <c r="A123" s="1" t="s">
        <v>256</v>
      </c>
      <c r="B123" s="1" t="s">
        <v>59</v>
      </c>
      <c r="C123" s="1" t="s">
        <v>25</v>
      </c>
      <c r="D123">
        <v>27</v>
      </c>
      <c r="E123" s="1" t="s">
        <v>238</v>
      </c>
    </row>
    <row r="124" spans="1:5" x14ac:dyDescent="0.25">
      <c r="A124" s="1" t="s">
        <v>257</v>
      </c>
      <c r="B124" s="1" t="s">
        <v>61</v>
      </c>
      <c r="C124" s="1" t="s">
        <v>29</v>
      </c>
      <c r="D124">
        <v>45</v>
      </c>
      <c r="E124" s="1" t="s">
        <v>238</v>
      </c>
    </row>
    <row r="125" spans="1:5" x14ac:dyDescent="0.25">
      <c r="A125" s="1" t="s">
        <v>258</v>
      </c>
      <c r="B125" s="1" t="s">
        <v>63</v>
      </c>
      <c r="C125" s="1" t="s">
        <v>25</v>
      </c>
      <c r="D125">
        <v>31</v>
      </c>
      <c r="E125" s="1" t="s">
        <v>238</v>
      </c>
    </row>
    <row r="126" spans="1:5" x14ac:dyDescent="0.25">
      <c r="A126" s="1" t="s">
        <v>259</v>
      </c>
      <c r="B126" s="1" t="s">
        <v>65</v>
      </c>
      <c r="C126" s="1" t="s">
        <v>29</v>
      </c>
      <c r="D126">
        <v>22</v>
      </c>
      <c r="E126" s="1" t="s">
        <v>238</v>
      </c>
    </row>
    <row r="127" spans="1:5" x14ac:dyDescent="0.25">
      <c r="A127" s="1" t="s">
        <v>260</v>
      </c>
      <c r="B127" s="1" t="s">
        <v>67</v>
      </c>
      <c r="C127" s="1" t="s">
        <v>25</v>
      </c>
      <c r="D127">
        <v>55</v>
      </c>
      <c r="E127" s="1" t="s">
        <v>238</v>
      </c>
    </row>
    <row r="128" spans="1:5" x14ac:dyDescent="0.25">
      <c r="A128" s="1" t="s">
        <v>261</v>
      </c>
      <c r="B128" s="1" t="s">
        <v>69</v>
      </c>
      <c r="C128" s="1" t="s">
        <v>29</v>
      </c>
      <c r="D128">
        <v>40</v>
      </c>
      <c r="E128" s="1" t="s">
        <v>238</v>
      </c>
    </row>
    <row r="129" spans="1:5" x14ac:dyDescent="0.25">
      <c r="A129" s="1" t="s">
        <v>262</v>
      </c>
      <c r="B129" s="1" t="s">
        <v>71</v>
      </c>
      <c r="C129" s="1" t="s">
        <v>25</v>
      </c>
      <c r="D129">
        <v>48</v>
      </c>
      <c r="E129" s="1" t="s">
        <v>238</v>
      </c>
    </row>
    <row r="130" spans="1:5" x14ac:dyDescent="0.25">
      <c r="A130" s="1" t="s">
        <v>263</v>
      </c>
      <c r="B130" s="1" t="s">
        <v>73</v>
      </c>
      <c r="C130" s="1" t="s">
        <v>29</v>
      </c>
      <c r="D130">
        <v>18</v>
      </c>
      <c r="E130" s="1" t="s">
        <v>238</v>
      </c>
    </row>
    <row r="131" spans="1:5" x14ac:dyDescent="0.25">
      <c r="A131" s="1" t="s">
        <v>264</v>
      </c>
      <c r="B131" s="1" t="s">
        <v>75</v>
      </c>
      <c r="C131" s="1" t="s">
        <v>25</v>
      </c>
      <c r="D131">
        <v>9</v>
      </c>
      <c r="E131" s="1" t="s">
        <v>238</v>
      </c>
    </row>
    <row r="132" spans="1:5" x14ac:dyDescent="0.25">
      <c r="A132" s="1" t="s">
        <v>265</v>
      </c>
      <c r="B132" s="1" t="s">
        <v>77</v>
      </c>
      <c r="C132" s="1" t="s">
        <v>29</v>
      </c>
      <c r="D132">
        <v>36</v>
      </c>
      <c r="E132" s="1" t="s">
        <v>238</v>
      </c>
    </row>
    <row r="133" spans="1:5" x14ac:dyDescent="0.25">
      <c r="A133" s="1" t="s">
        <v>266</v>
      </c>
      <c r="B133" s="1" t="s">
        <v>79</v>
      </c>
      <c r="C133" s="1" t="s">
        <v>25</v>
      </c>
      <c r="D133">
        <v>43</v>
      </c>
      <c r="E133" s="1" t="s">
        <v>238</v>
      </c>
    </row>
    <row r="134" spans="1:5" x14ac:dyDescent="0.25">
      <c r="A134" s="1" t="s">
        <v>267</v>
      </c>
      <c r="B134" s="1" t="s">
        <v>81</v>
      </c>
      <c r="C134" s="1" t="s">
        <v>29</v>
      </c>
      <c r="D134">
        <v>53</v>
      </c>
      <c r="E134" s="1" t="s">
        <v>238</v>
      </c>
    </row>
    <row r="135" spans="1:5" x14ac:dyDescent="0.25">
      <c r="A135" s="1" t="s">
        <v>268</v>
      </c>
      <c r="B135" s="1" t="s">
        <v>83</v>
      </c>
      <c r="C135" s="1" t="s">
        <v>25</v>
      </c>
      <c r="D135">
        <v>21</v>
      </c>
      <c r="E135" s="1" t="s">
        <v>238</v>
      </c>
    </row>
    <row r="136" spans="1:5" x14ac:dyDescent="0.25">
      <c r="A136" s="1" t="s">
        <v>269</v>
      </c>
      <c r="B136" s="1" t="s">
        <v>270</v>
      </c>
      <c r="C136" s="1" t="s">
        <v>25</v>
      </c>
      <c r="D136">
        <v>34</v>
      </c>
      <c r="E136" s="1" t="s">
        <v>271</v>
      </c>
    </row>
    <row r="137" spans="1:5" x14ac:dyDescent="0.25">
      <c r="A137" s="1" t="s">
        <v>272</v>
      </c>
      <c r="B137" s="1" t="s">
        <v>273</v>
      </c>
      <c r="C137" s="1" t="s">
        <v>29</v>
      </c>
      <c r="D137">
        <v>28</v>
      </c>
      <c r="E137" s="1" t="s">
        <v>271</v>
      </c>
    </row>
    <row r="138" spans="1:5" x14ac:dyDescent="0.25">
      <c r="A138" s="1" t="s">
        <v>274</v>
      </c>
      <c r="B138" s="1" t="s">
        <v>275</v>
      </c>
      <c r="C138" s="1" t="s">
        <v>25</v>
      </c>
      <c r="D138">
        <v>52</v>
      </c>
      <c r="E138" s="1" t="s">
        <v>271</v>
      </c>
    </row>
    <row r="139" spans="1:5" x14ac:dyDescent="0.25">
      <c r="A139" s="1" t="s">
        <v>276</v>
      </c>
      <c r="B139" s="1" t="s">
        <v>277</v>
      </c>
      <c r="C139" s="1" t="s">
        <v>29</v>
      </c>
      <c r="D139">
        <v>19</v>
      </c>
      <c r="E139" s="1" t="s">
        <v>271</v>
      </c>
    </row>
    <row r="140" spans="1:5" x14ac:dyDescent="0.25">
      <c r="A140" s="1" t="s">
        <v>278</v>
      </c>
      <c r="B140" s="1" t="s">
        <v>279</v>
      </c>
      <c r="C140" s="1" t="s">
        <v>25</v>
      </c>
      <c r="D140">
        <v>41</v>
      </c>
      <c r="E140" s="1" t="s">
        <v>271</v>
      </c>
    </row>
    <row r="141" spans="1:5" x14ac:dyDescent="0.25">
      <c r="A141" s="1" t="s">
        <v>280</v>
      </c>
      <c r="B141" s="1" t="s">
        <v>176</v>
      </c>
      <c r="C141" s="1" t="s">
        <v>29</v>
      </c>
      <c r="D141">
        <v>33</v>
      </c>
      <c r="E141" s="1" t="s">
        <v>271</v>
      </c>
    </row>
    <row r="142" spans="1:5" x14ac:dyDescent="0.25">
      <c r="A142" s="1" t="s">
        <v>281</v>
      </c>
      <c r="B142" s="1" t="s">
        <v>282</v>
      </c>
      <c r="C142" s="1" t="s">
        <v>25</v>
      </c>
      <c r="D142">
        <v>60</v>
      </c>
      <c r="E142" s="1" t="s">
        <v>271</v>
      </c>
    </row>
    <row r="143" spans="1:5" x14ac:dyDescent="0.25">
      <c r="A143" s="1" t="s">
        <v>283</v>
      </c>
      <c r="B143" s="1" t="s">
        <v>284</v>
      </c>
      <c r="C143" s="1" t="s">
        <v>29</v>
      </c>
      <c r="D143">
        <v>25</v>
      </c>
      <c r="E143" s="1" t="s">
        <v>271</v>
      </c>
    </row>
    <row r="144" spans="1:5" x14ac:dyDescent="0.25">
      <c r="A144" s="1" t="s">
        <v>285</v>
      </c>
      <c r="B144" s="1" t="s">
        <v>286</v>
      </c>
      <c r="C144" s="1" t="s">
        <v>25</v>
      </c>
      <c r="D144">
        <v>12</v>
      </c>
      <c r="E144" s="1" t="s">
        <v>271</v>
      </c>
    </row>
    <row r="145" spans="1:5" x14ac:dyDescent="0.25">
      <c r="A145" s="1" t="s">
        <v>287</v>
      </c>
      <c r="B145" s="1" t="s">
        <v>288</v>
      </c>
      <c r="C145" s="1" t="s">
        <v>29</v>
      </c>
      <c r="D145">
        <v>44</v>
      </c>
      <c r="E145" s="1" t="s">
        <v>271</v>
      </c>
    </row>
    <row r="146" spans="1:5" x14ac:dyDescent="0.25">
      <c r="A146" s="1" t="s">
        <v>289</v>
      </c>
      <c r="B146" s="1" t="s">
        <v>290</v>
      </c>
      <c r="C146" s="1" t="s">
        <v>25</v>
      </c>
      <c r="D146">
        <v>37</v>
      </c>
      <c r="E146" s="1" t="s">
        <v>271</v>
      </c>
    </row>
    <row r="147" spans="1:5" x14ac:dyDescent="0.25">
      <c r="A147" s="1" t="s">
        <v>291</v>
      </c>
      <c r="B147" s="1" t="s">
        <v>292</v>
      </c>
      <c r="C147" s="1" t="s">
        <v>29</v>
      </c>
      <c r="D147">
        <v>29</v>
      </c>
      <c r="E147" s="1" t="s">
        <v>271</v>
      </c>
    </row>
    <row r="148" spans="1:5" x14ac:dyDescent="0.25">
      <c r="A148" s="1" t="s">
        <v>293</v>
      </c>
      <c r="B148" s="1" t="s">
        <v>294</v>
      </c>
      <c r="C148" s="1" t="s">
        <v>25</v>
      </c>
      <c r="D148">
        <v>50</v>
      </c>
      <c r="E148" s="1" t="s">
        <v>271</v>
      </c>
    </row>
    <row r="149" spans="1:5" x14ac:dyDescent="0.25">
      <c r="A149" s="1" t="s">
        <v>295</v>
      </c>
      <c r="B149" s="1" t="s">
        <v>296</v>
      </c>
      <c r="C149" s="1" t="s">
        <v>29</v>
      </c>
      <c r="D149">
        <v>16</v>
      </c>
      <c r="E149" s="1" t="s">
        <v>271</v>
      </c>
    </row>
    <row r="150" spans="1:5" x14ac:dyDescent="0.25">
      <c r="A150" s="1" t="s">
        <v>297</v>
      </c>
      <c r="B150" s="1" t="s">
        <v>298</v>
      </c>
      <c r="C150" s="1" t="s">
        <v>29</v>
      </c>
      <c r="D150">
        <v>38</v>
      </c>
      <c r="E150" s="1" t="s">
        <v>271</v>
      </c>
    </row>
    <row r="151" spans="1:5" x14ac:dyDescent="0.25">
      <c r="A151" s="1" t="s">
        <v>299</v>
      </c>
      <c r="B151" s="1" t="s">
        <v>300</v>
      </c>
      <c r="C151" s="1" t="s">
        <v>25</v>
      </c>
      <c r="D151">
        <v>27</v>
      </c>
      <c r="E151" s="1" t="s">
        <v>271</v>
      </c>
    </row>
    <row r="152" spans="1:5" x14ac:dyDescent="0.25">
      <c r="A152" s="1" t="s">
        <v>301</v>
      </c>
      <c r="B152" s="1" t="s">
        <v>302</v>
      </c>
      <c r="C152" s="1" t="s">
        <v>29</v>
      </c>
      <c r="D152">
        <v>45</v>
      </c>
      <c r="E152" s="1" t="s">
        <v>271</v>
      </c>
    </row>
    <row r="153" spans="1:5" x14ac:dyDescent="0.25">
      <c r="A153" s="1" t="s">
        <v>303</v>
      </c>
      <c r="B153" s="1" t="s">
        <v>116</v>
      </c>
      <c r="C153" s="1" t="s">
        <v>25</v>
      </c>
      <c r="D153">
        <v>31</v>
      </c>
      <c r="E153" s="1" t="s">
        <v>271</v>
      </c>
    </row>
    <row r="154" spans="1:5" x14ac:dyDescent="0.25">
      <c r="A154" s="1" t="s">
        <v>304</v>
      </c>
      <c r="B154" s="1" t="s">
        <v>65</v>
      </c>
      <c r="C154" s="1" t="s">
        <v>29</v>
      </c>
      <c r="D154">
        <v>22</v>
      </c>
      <c r="E154" s="1" t="s">
        <v>271</v>
      </c>
    </row>
    <row r="155" spans="1:5" x14ac:dyDescent="0.25">
      <c r="A155" s="1" t="s">
        <v>305</v>
      </c>
      <c r="B155" s="1" t="s">
        <v>306</v>
      </c>
      <c r="C155" s="1" t="s">
        <v>25</v>
      </c>
      <c r="D155">
        <v>55</v>
      </c>
      <c r="E155" s="1" t="s">
        <v>271</v>
      </c>
    </row>
    <row r="156" spans="1:5" x14ac:dyDescent="0.25">
      <c r="A156" s="1" t="s">
        <v>307</v>
      </c>
      <c r="B156" s="1" t="s">
        <v>308</v>
      </c>
      <c r="C156" s="1" t="s">
        <v>29</v>
      </c>
      <c r="D156">
        <v>40</v>
      </c>
      <c r="E156" s="1" t="s">
        <v>271</v>
      </c>
    </row>
    <row r="157" spans="1:5" x14ac:dyDescent="0.25">
      <c r="A157" s="1" t="s">
        <v>309</v>
      </c>
      <c r="B157" s="1" t="s">
        <v>310</v>
      </c>
      <c r="C157" s="1" t="s">
        <v>29</v>
      </c>
      <c r="D157">
        <v>18</v>
      </c>
      <c r="E157" s="1" t="s">
        <v>271</v>
      </c>
    </row>
    <row r="158" spans="1:5" x14ac:dyDescent="0.25">
      <c r="A158" s="1" t="s">
        <v>311</v>
      </c>
      <c r="B158" s="1" t="s">
        <v>75</v>
      </c>
      <c r="C158" s="1" t="s">
        <v>25</v>
      </c>
      <c r="D158">
        <v>9</v>
      </c>
      <c r="E158" s="1" t="s">
        <v>271</v>
      </c>
    </row>
    <row r="159" spans="1:5" x14ac:dyDescent="0.25">
      <c r="A159" s="1" t="s">
        <v>312</v>
      </c>
      <c r="B159" s="1" t="s">
        <v>77</v>
      </c>
      <c r="C159" s="1" t="s">
        <v>29</v>
      </c>
      <c r="D159">
        <v>36</v>
      </c>
      <c r="E159" s="1" t="s">
        <v>271</v>
      </c>
    </row>
    <row r="160" spans="1:5" x14ac:dyDescent="0.25">
      <c r="A160" s="1" t="s">
        <v>313</v>
      </c>
      <c r="B160" s="1" t="s">
        <v>314</v>
      </c>
      <c r="C160" s="1" t="s">
        <v>29</v>
      </c>
      <c r="D160">
        <v>28</v>
      </c>
      <c r="E160" s="1" t="s">
        <v>315</v>
      </c>
    </row>
    <row r="161" spans="1:5" x14ac:dyDescent="0.25">
      <c r="A161" s="1" t="s">
        <v>316</v>
      </c>
      <c r="B161" s="1" t="s">
        <v>317</v>
      </c>
      <c r="C161" s="1" t="s">
        <v>25</v>
      </c>
      <c r="D161">
        <v>41</v>
      </c>
      <c r="E161" s="1" t="s">
        <v>315</v>
      </c>
    </row>
    <row r="162" spans="1:5" x14ac:dyDescent="0.25">
      <c r="A162" s="1" t="s">
        <v>318</v>
      </c>
      <c r="B162" s="1" t="s">
        <v>319</v>
      </c>
      <c r="C162" s="1" t="s">
        <v>29</v>
      </c>
      <c r="D162">
        <v>19</v>
      </c>
      <c r="E162" s="1" t="s">
        <v>315</v>
      </c>
    </row>
    <row r="163" spans="1:5" x14ac:dyDescent="0.25">
      <c r="A163" s="1" t="s">
        <v>320</v>
      </c>
      <c r="B163" s="1" t="s">
        <v>321</v>
      </c>
      <c r="C163" s="1" t="s">
        <v>25</v>
      </c>
      <c r="D163">
        <v>52</v>
      </c>
      <c r="E163" s="1" t="s">
        <v>315</v>
      </c>
    </row>
    <row r="164" spans="1:5" x14ac:dyDescent="0.25">
      <c r="A164" s="1" t="s">
        <v>322</v>
      </c>
      <c r="B164" s="1" t="s">
        <v>323</v>
      </c>
      <c r="C164" s="1" t="s">
        <v>25</v>
      </c>
      <c r="D164">
        <v>60</v>
      </c>
      <c r="E164" s="1" t="s">
        <v>315</v>
      </c>
    </row>
    <row r="165" spans="1:5" x14ac:dyDescent="0.25">
      <c r="A165" s="1" t="s">
        <v>324</v>
      </c>
      <c r="B165" s="1" t="s">
        <v>325</v>
      </c>
      <c r="C165" s="1" t="s">
        <v>29</v>
      </c>
      <c r="D165">
        <v>24</v>
      </c>
      <c r="E165" s="1" t="s">
        <v>315</v>
      </c>
    </row>
    <row r="166" spans="1:5" x14ac:dyDescent="0.25">
      <c r="A166" s="1" t="s">
        <v>326</v>
      </c>
      <c r="B166" s="1" t="s">
        <v>327</v>
      </c>
      <c r="C166" s="1" t="s">
        <v>25</v>
      </c>
      <c r="D166">
        <v>45</v>
      </c>
      <c r="E166" s="1" t="s">
        <v>315</v>
      </c>
    </row>
    <row r="167" spans="1:5" x14ac:dyDescent="0.25">
      <c r="A167" s="1" t="s">
        <v>328</v>
      </c>
      <c r="B167" s="1" t="s">
        <v>329</v>
      </c>
      <c r="C167" s="1" t="s">
        <v>29</v>
      </c>
      <c r="D167">
        <v>12</v>
      </c>
      <c r="E167" s="1" t="s">
        <v>315</v>
      </c>
    </row>
    <row r="168" spans="1:5" x14ac:dyDescent="0.25">
      <c r="A168" s="1" t="s">
        <v>330</v>
      </c>
      <c r="B168" s="1" t="s">
        <v>331</v>
      </c>
      <c r="C168" s="1" t="s">
        <v>25</v>
      </c>
      <c r="D168">
        <v>37</v>
      </c>
      <c r="E168" s="1" t="s">
        <v>315</v>
      </c>
    </row>
    <row r="169" spans="1:5" x14ac:dyDescent="0.25">
      <c r="A169" s="1" t="s">
        <v>332</v>
      </c>
      <c r="B169" s="1" t="s">
        <v>333</v>
      </c>
      <c r="C169" s="1" t="s">
        <v>29</v>
      </c>
      <c r="D169">
        <v>28</v>
      </c>
      <c r="E169" s="1" t="s">
        <v>315</v>
      </c>
    </row>
    <row r="170" spans="1:5" x14ac:dyDescent="0.25">
      <c r="A170" s="1" t="s">
        <v>334</v>
      </c>
      <c r="B170" s="1" t="s">
        <v>335</v>
      </c>
      <c r="C170" s="1" t="s">
        <v>25</v>
      </c>
      <c r="D170">
        <v>50</v>
      </c>
      <c r="E170" s="1" t="s">
        <v>315</v>
      </c>
    </row>
    <row r="171" spans="1:5" x14ac:dyDescent="0.25">
      <c r="A171" s="1" t="s">
        <v>336</v>
      </c>
      <c r="B171" s="1" t="s">
        <v>337</v>
      </c>
      <c r="C171" s="1" t="s">
        <v>29</v>
      </c>
      <c r="D171">
        <v>16</v>
      </c>
      <c r="E171" s="1" t="s">
        <v>315</v>
      </c>
    </row>
    <row r="172" spans="1:5" x14ac:dyDescent="0.25">
      <c r="A172" s="1" t="s">
        <v>338</v>
      </c>
      <c r="B172" s="1" t="s">
        <v>339</v>
      </c>
      <c r="C172" s="1" t="s">
        <v>25</v>
      </c>
      <c r="D172">
        <v>44</v>
      </c>
      <c r="E172" s="1" t="s">
        <v>315</v>
      </c>
    </row>
    <row r="173" spans="1:5" x14ac:dyDescent="0.25">
      <c r="A173" s="1" t="s">
        <v>340</v>
      </c>
      <c r="B173" s="1" t="s">
        <v>341</v>
      </c>
      <c r="C173" s="1" t="s">
        <v>29</v>
      </c>
      <c r="D173">
        <v>31</v>
      </c>
      <c r="E173" s="1" t="s">
        <v>315</v>
      </c>
    </row>
    <row r="174" spans="1:5" x14ac:dyDescent="0.25">
      <c r="A174" s="1" t="s">
        <v>342</v>
      </c>
      <c r="B174" s="1" t="s">
        <v>343</v>
      </c>
      <c r="C174" s="1" t="s">
        <v>25</v>
      </c>
      <c r="D174">
        <v>27</v>
      </c>
      <c r="E174" s="1" t="s">
        <v>315</v>
      </c>
    </row>
    <row r="175" spans="1:5" x14ac:dyDescent="0.25">
      <c r="A175" s="1" t="s">
        <v>344</v>
      </c>
      <c r="B175" s="1" t="s">
        <v>345</v>
      </c>
      <c r="C175" s="1" t="s">
        <v>29</v>
      </c>
      <c r="D175">
        <v>55</v>
      </c>
      <c r="E175" s="1" t="s">
        <v>315</v>
      </c>
    </row>
    <row r="176" spans="1:5" x14ac:dyDescent="0.25">
      <c r="A176" s="1" t="s">
        <v>346</v>
      </c>
      <c r="B176" s="1" t="s">
        <v>347</v>
      </c>
      <c r="C176" s="1" t="s">
        <v>25</v>
      </c>
      <c r="D176">
        <v>38</v>
      </c>
      <c r="E176" s="1" t="s">
        <v>315</v>
      </c>
    </row>
    <row r="177" spans="1:5" x14ac:dyDescent="0.25">
      <c r="A177" s="1" t="s">
        <v>348</v>
      </c>
      <c r="B177" s="1" t="s">
        <v>349</v>
      </c>
      <c r="C177" s="1" t="s">
        <v>29</v>
      </c>
      <c r="D177">
        <v>21</v>
      </c>
      <c r="E177" s="1" t="s">
        <v>315</v>
      </c>
    </row>
    <row r="178" spans="1:5" x14ac:dyDescent="0.25">
      <c r="A178" s="1" t="s">
        <v>350</v>
      </c>
      <c r="B178" s="1" t="s">
        <v>351</v>
      </c>
      <c r="C178" s="1" t="s">
        <v>25</v>
      </c>
      <c r="D178">
        <v>64</v>
      </c>
      <c r="E178" s="1" t="s">
        <v>315</v>
      </c>
    </row>
    <row r="179" spans="1:5" x14ac:dyDescent="0.25">
      <c r="A179" s="1" t="s">
        <v>352</v>
      </c>
      <c r="B179" s="1" t="s">
        <v>353</v>
      </c>
      <c r="C179" s="1" t="s">
        <v>29</v>
      </c>
      <c r="D179">
        <v>19</v>
      </c>
      <c r="E179" s="1" t="s">
        <v>315</v>
      </c>
    </row>
    <row r="180" spans="1:5" x14ac:dyDescent="0.25">
      <c r="A180" s="1" t="s">
        <v>354</v>
      </c>
      <c r="B180" s="1" t="s">
        <v>355</v>
      </c>
      <c r="C180" s="1" t="s">
        <v>25</v>
      </c>
      <c r="D180">
        <v>48</v>
      </c>
      <c r="E180" s="1" t="s">
        <v>315</v>
      </c>
    </row>
    <row r="181" spans="1:5" x14ac:dyDescent="0.25">
      <c r="A181" s="1" t="s">
        <v>356</v>
      </c>
      <c r="B181" s="1" t="s">
        <v>357</v>
      </c>
      <c r="C181" s="1" t="s">
        <v>29</v>
      </c>
      <c r="D181">
        <v>34</v>
      </c>
      <c r="E181" s="1" t="s">
        <v>315</v>
      </c>
    </row>
    <row r="182" spans="1:5" x14ac:dyDescent="0.25">
      <c r="A182" s="1" t="s">
        <v>358</v>
      </c>
      <c r="B182" s="1" t="s">
        <v>359</v>
      </c>
      <c r="C182" s="1" t="s">
        <v>25</v>
      </c>
      <c r="D182">
        <v>40</v>
      </c>
      <c r="E182" s="1" t="s">
        <v>315</v>
      </c>
    </row>
    <row r="183" spans="1:5" x14ac:dyDescent="0.25">
      <c r="A183" s="1" t="s">
        <v>360</v>
      </c>
      <c r="B183" s="1" t="s">
        <v>361</v>
      </c>
      <c r="C183" s="1" t="s">
        <v>29</v>
      </c>
      <c r="D183">
        <v>15</v>
      </c>
      <c r="E183" s="1" t="s">
        <v>315</v>
      </c>
    </row>
    <row r="184" spans="1:5" x14ac:dyDescent="0.25">
      <c r="A184" s="1" t="s">
        <v>362</v>
      </c>
      <c r="B184" s="1" t="s">
        <v>363</v>
      </c>
      <c r="C184" s="1" t="s">
        <v>29</v>
      </c>
      <c r="D184">
        <v>26</v>
      </c>
      <c r="E184" s="1" t="s">
        <v>315</v>
      </c>
    </row>
    <row r="185" spans="1:5" x14ac:dyDescent="0.25">
      <c r="A185" s="1" t="s">
        <v>364</v>
      </c>
      <c r="B185" s="1" t="s">
        <v>365</v>
      </c>
      <c r="C185" s="1" t="s">
        <v>25</v>
      </c>
      <c r="D185">
        <v>43</v>
      </c>
      <c r="E185" s="1" t="s">
        <v>315</v>
      </c>
    </row>
    <row r="186" spans="1:5" x14ac:dyDescent="0.25">
      <c r="A186" s="1" t="s">
        <v>366</v>
      </c>
      <c r="B186" s="1" t="s">
        <v>367</v>
      </c>
      <c r="C186" s="1" t="s">
        <v>29</v>
      </c>
      <c r="D186">
        <v>11</v>
      </c>
      <c r="E186" s="1" t="s">
        <v>315</v>
      </c>
    </row>
    <row r="187" spans="1:5" x14ac:dyDescent="0.25">
      <c r="A187" s="1" t="s">
        <v>368</v>
      </c>
      <c r="B187" s="1" t="s">
        <v>369</v>
      </c>
      <c r="C187" s="1" t="s">
        <v>25</v>
      </c>
      <c r="D187">
        <v>36</v>
      </c>
      <c r="E187" s="1" t="s">
        <v>315</v>
      </c>
    </row>
    <row r="188" spans="1:5" x14ac:dyDescent="0.25">
      <c r="A188" s="1" t="s">
        <v>370</v>
      </c>
      <c r="B188" s="1" t="s">
        <v>371</v>
      </c>
      <c r="C188" s="1" t="s">
        <v>29</v>
      </c>
      <c r="D188">
        <v>65</v>
      </c>
      <c r="E188" s="1" t="s">
        <v>315</v>
      </c>
    </row>
    <row r="189" spans="1:5" x14ac:dyDescent="0.25">
      <c r="A189" s="1" t="s">
        <v>372</v>
      </c>
      <c r="B189" s="1" t="s">
        <v>373</v>
      </c>
      <c r="C189" s="1" t="s">
        <v>25</v>
      </c>
      <c r="D189">
        <v>22</v>
      </c>
      <c r="E189" s="1" t="s">
        <v>315</v>
      </c>
    </row>
    <row r="190" spans="1:5" x14ac:dyDescent="0.25">
      <c r="A190" s="1" t="s">
        <v>374</v>
      </c>
      <c r="B190" s="1" t="s">
        <v>375</v>
      </c>
      <c r="C190" s="1" t="s">
        <v>29</v>
      </c>
      <c r="D190">
        <v>28</v>
      </c>
      <c r="E190" s="1" t="s">
        <v>376</v>
      </c>
    </row>
    <row r="191" spans="1:5" x14ac:dyDescent="0.25">
      <c r="A191" s="1" t="s">
        <v>377</v>
      </c>
      <c r="B191" s="1" t="s">
        <v>174</v>
      </c>
      <c r="C191" s="1" t="s">
        <v>25</v>
      </c>
      <c r="D191">
        <v>41</v>
      </c>
      <c r="E191" s="1" t="s">
        <v>376</v>
      </c>
    </row>
    <row r="192" spans="1:5" x14ac:dyDescent="0.25">
      <c r="A192" s="1" t="s">
        <v>378</v>
      </c>
      <c r="B192" s="1" t="s">
        <v>379</v>
      </c>
      <c r="C192" s="1" t="s">
        <v>29</v>
      </c>
      <c r="D192">
        <v>19</v>
      </c>
      <c r="E192" s="1" t="s">
        <v>376</v>
      </c>
    </row>
    <row r="193" spans="1:5" x14ac:dyDescent="0.25">
      <c r="A193" s="1" t="s">
        <v>380</v>
      </c>
      <c r="B193" s="1" t="s">
        <v>182</v>
      </c>
      <c r="C193" s="1" t="s">
        <v>25</v>
      </c>
      <c r="D193">
        <v>52</v>
      </c>
      <c r="E193" s="1" t="s">
        <v>376</v>
      </c>
    </row>
    <row r="194" spans="1:5" x14ac:dyDescent="0.25">
      <c r="A194" s="1" t="s">
        <v>381</v>
      </c>
      <c r="B194" s="1" t="s">
        <v>176</v>
      </c>
      <c r="C194" s="1" t="s">
        <v>29</v>
      </c>
      <c r="D194">
        <v>33</v>
      </c>
      <c r="E194" s="1" t="s">
        <v>376</v>
      </c>
    </row>
    <row r="195" spans="1:5" x14ac:dyDescent="0.25">
      <c r="A195" s="1" t="s">
        <v>382</v>
      </c>
      <c r="B195" s="1" t="s">
        <v>383</v>
      </c>
      <c r="C195" s="1" t="s">
        <v>25</v>
      </c>
      <c r="D195">
        <v>60</v>
      </c>
      <c r="E195" s="1" t="s">
        <v>376</v>
      </c>
    </row>
    <row r="196" spans="1:5" x14ac:dyDescent="0.25">
      <c r="A196" s="1" t="s">
        <v>384</v>
      </c>
      <c r="B196" s="1" t="s">
        <v>110</v>
      </c>
      <c r="C196" s="1" t="s">
        <v>29</v>
      </c>
      <c r="D196">
        <v>24</v>
      </c>
      <c r="E196" s="1" t="s">
        <v>376</v>
      </c>
    </row>
    <row r="197" spans="1:5" x14ac:dyDescent="0.25">
      <c r="A197" s="1" t="s">
        <v>385</v>
      </c>
      <c r="B197" s="1" t="s">
        <v>186</v>
      </c>
      <c r="C197" s="1" t="s">
        <v>25</v>
      </c>
      <c r="D197">
        <v>45</v>
      </c>
      <c r="E197" s="1" t="s">
        <v>376</v>
      </c>
    </row>
    <row r="198" spans="1:5" x14ac:dyDescent="0.25">
      <c r="A198" s="1" t="s">
        <v>386</v>
      </c>
      <c r="B198" s="1" t="s">
        <v>180</v>
      </c>
      <c r="C198" s="1" t="s">
        <v>29</v>
      </c>
      <c r="D198">
        <v>12</v>
      </c>
      <c r="E198" s="1" t="s">
        <v>376</v>
      </c>
    </row>
    <row r="199" spans="1:5" x14ac:dyDescent="0.25">
      <c r="A199" s="1" t="s">
        <v>387</v>
      </c>
      <c r="B199" s="1" t="s">
        <v>388</v>
      </c>
      <c r="C199" s="1" t="s">
        <v>25</v>
      </c>
      <c r="D199">
        <v>37</v>
      </c>
      <c r="E199" s="1" t="s">
        <v>376</v>
      </c>
    </row>
    <row r="200" spans="1:5" x14ac:dyDescent="0.25">
      <c r="A200" s="1" t="s">
        <v>389</v>
      </c>
      <c r="B200" s="1" t="s">
        <v>41</v>
      </c>
      <c r="C200" s="1" t="s">
        <v>29</v>
      </c>
      <c r="D200">
        <v>28</v>
      </c>
      <c r="E200" s="1" t="s">
        <v>376</v>
      </c>
    </row>
    <row r="201" spans="1:5" x14ac:dyDescent="0.25">
      <c r="A201" s="1" t="s">
        <v>390</v>
      </c>
      <c r="B201" s="1" t="s">
        <v>63</v>
      </c>
      <c r="C201" s="1" t="s">
        <v>25</v>
      </c>
      <c r="D201">
        <v>50</v>
      </c>
      <c r="E201" s="1" t="s">
        <v>376</v>
      </c>
    </row>
    <row r="202" spans="1:5" x14ac:dyDescent="0.25">
      <c r="A202" s="1" t="s">
        <v>391</v>
      </c>
      <c r="B202" s="1" t="s">
        <v>192</v>
      </c>
      <c r="C202" s="1" t="s">
        <v>29</v>
      </c>
      <c r="D202">
        <v>16</v>
      </c>
      <c r="E202" s="1" t="s">
        <v>376</v>
      </c>
    </row>
    <row r="203" spans="1:5" x14ac:dyDescent="0.25">
      <c r="A203" s="1" t="s">
        <v>392</v>
      </c>
      <c r="B203" s="1" t="s">
        <v>393</v>
      </c>
      <c r="C203" s="1" t="s">
        <v>25</v>
      </c>
      <c r="D203">
        <v>44</v>
      </c>
      <c r="E203" s="1" t="s">
        <v>376</v>
      </c>
    </row>
    <row r="204" spans="1:5" x14ac:dyDescent="0.25">
      <c r="A204" s="1" t="s">
        <v>394</v>
      </c>
      <c r="B204" s="1" t="s">
        <v>298</v>
      </c>
      <c r="C204" s="1" t="s">
        <v>29</v>
      </c>
      <c r="D204">
        <v>31</v>
      </c>
      <c r="E204" s="1" t="s">
        <v>376</v>
      </c>
    </row>
    <row r="205" spans="1:5" x14ac:dyDescent="0.25">
      <c r="A205" s="1" t="s">
        <v>395</v>
      </c>
      <c r="B205" s="1" t="s">
        <v>396</v>
      </c>
      <c r="C205" s="1" t="s">
        <v>25</v>
      </c>
      <c r="D205">
        <v>27</v>
      </c>
      <c r="E205" s="1" t="s">
        <v>376</v>
      </c>
    </row>
    <row r="206" spans="1:5" x14ac:dyDescent="0.25">
      <c r="A206" s="1" t="s">
        <v>397</v>
      </c>
      <c r="B206" s="1" t="s">
        <v>200</v>
      </c>
      <c r="C206" s="1" t="s">
        <v>29</v>
      </c>
      <c r="D206">
        <v>55</v>
      </c>
      <c r="E206" s="1" t="s">
        <v>376</v>
      </c>
    </row>
    <row r="207" spans="1:5" x14ac:dyDescent="0.25">
      <c r="A207" s="1" t="s">
        <v>398</v>
      </c>
      <c r="B207" s="1" t="s">
        <v>202</v>
      </c>
      <c r="C207" s="1" t="s">
        <v>25</v>
      </c>
      <c r="D207">
        <v>38</v>
      </c>
      <c r="E207" s="1" t="s">
        <v>376</v>
      </c>
    </row>
    <row r="208" spans="1:5" x14ac:dyDescent="0.25">
      <c r="A208" s="1" t="s">
        <v>399</v>
      </c>
      <c r="B208" s="1" t="s">
        <v>204</v>
      </c>
      <c r="C208" s="1" t="s">
        <v>29</v>
      </c>
      <c r="D208">
        <v>21</v>
      </c>
      <c r="E208" s="1" t="s">
        <v>376</v>
      </c>
    </row>
    <row r="209" spans="1:5" x14ac:dyDescent="0.25">
      <c r="A209" s="1" t="s">
        <v>400</v>
      </c>
      <c r="B209" s="1" t="s">
        <v>206</v>
      </c>
      <c r="C209" s="1" t="s">
        <v>25</v>
      </c>
      <c r="D209">
        <v>64</v>
      </c>
      <c r="E209" s="1" t="s">
        <v>376</v>
      </c>
    </row>
    <row r="210" spans="1:5" x14ac:dyDescent="0.25">
      <c r="A210" s="1" t="s">
        <v>401</v>
      </c>
      <c r="B210" s="1" t="s">
        <v>208</v>
      </c>
      <c r="C210" s="1" t="s">
        <v>29</v>
      </c>
      <c r="D210">
        <v>19</v>
      </c>
      <c r="E210" s="1" t="s">
        <v>376</v>
      </c>
    </row>
    <row r="211" spans="1:5" x14ac:dyDescent="0.25">
      <c r="A211" s="1" t="s">
        <v>402</v>
      </c>
      <c r="B211" s="1" t="s">
        <v>210</v>
      </c>
      <c r="C211" s="1" t="s">
        <v>25</v>
      </c>
      <c r="D211">
        <v>48</v>
      </c>
      <c r="E211" s="1" t="s">
        <v>376</v>
      </c>
    </row>
    <row r="212" spans="1:5" x14ac:dyDescent="0.25">
      <c r="A212" s="1" t="s">
        <v>403</v>
      </c>
      <c r="B212" s="1" t="s">
        <v>212</v>
      </c>
      <c r="C212" s="1" t="s">
        <v>29</v>
      </c>
      <c r="D212">
        <v>34</v>
      </c>
      <c r="E212" s="1" t="s">
        <v>376</v>
      </c>
    </row>
    <row r="213" spans="1:5" x14ac:dyDescent="0.25">
      <c r="A213" s="1" t="s">
        <v>404</v>
      </c>
      <c r="B213" s="1" t="s">
        <v>214</v>
      </c>
      <c r="C213" s="1" t="s">
        <v>25</v>
      </c>
      <c r="D213">
        <v>40</v>
      </c>
      <c r="E213" s="1" t="s">
        <v>376</v>
      </c>
    </row>
    <row r="214" spans="1:5" x14ac:dyDescent="0.25">
      <c r="A214" s="1" t="s">
        <v>405</v>
      </c>
      <c r="B214" s="1" t="s">
        <v>216</v>
      </c>
      <c r="C214" s="1" t="s">
        <v>29</v>
      </c>
      <c r="D214">
        <v>15</v>
      </c>
      <c r="E214" s="1" t="s">
        <v>376</v>
      </c>
    </row>
    <row r="215" spans="1:5" x14ac:dyDescent="0.25">
      <c r="A215" s="1" t="s">
        <v>406</v>
      </c>
      <c r="B215" s="1" t="s">
        <v>218</v>
      </c>
      <c r="C215" s="1" t="s">
        <v>25</v>
      </c>
      <c r="D215">
        <v>58</v>
      </c>
      <c r="E215" s="1" t="s">
        <v>376</v>
      </c>
    </row>
    <row r="216" spans="1:5" x14ac:dyDescent="0.25">
      <c r="A216" s="1" t="s">
        <v>407</v>
      </c>
      <c r="B216" s="1" t="s">
        <v>220</v>
      </c>
      <c r="C216" s="1" t="s">
        <v>29</v>
      </c>
      <c r="D216">
        <v>26</v>
      </c>
      <c r="E216" s="1" t="s">
        <v>376</v>
      </c>
    </row>
    <row r="217" spans="1:5" x14ac:dyDescent="0.25">
      <c r="A217" s="1" t="s">
        <v>408</v>
      </c>
      <c r="B217" s="1" t="s">
        <v>222</v>
      </c>
      <c r="C217" s="1" t="s">
        <v>25</v>
      </c>
      <c r="D217">
        <v>43</v>
      </c>
      <c r="E217" s="1" t="s">
        <v>376</v>
      </c>
    </row>
    <row r="218" spans="1:5" x14ac:dyDescent="0.25">
      <c r="A218" s="1" t="s">
        <v>409</v>
      </c>
      <c r="B218" s="1" t="s">
        <v>224</v>
      </c>
      <c r="C218" s="1" t="s">
        <v>29</v>
      </c>
      <c r="D218">
        <v>11</v>
      </c>
      <c r="E218" s="1" t="s">
        <v>376</v>
      </c>
    </row>
    <row r="219" spans="1:5" x14ac:dyDescent="0.25">
      <c r="A219" s="1" t="s">
        <v>410</v>
      </c>
      <c r="B219" s="1" t="s">
        <v>226</v>
      </c>
      <c r="C219" s="1" t="s">
        <v>25</v>
      </c>
      <c r="D219">
        <v>36</v>
      </c>
      <c r="E219" s="1" t="s">
        <v>376</v>
      </c>
    </row>
    <row r="220" spans="1:5" x14ac:dyDescent="0.25">
      <c r="A220" s="1" t="s">
        <v>411</v>
      </c>
      <c r="B220" s="1" t="s">
        <v>228</v>
      </c>
      <c r="C220" s="1" t="s">
        <v>29</v>
      </c>
      <c r="D220">
        <v>65</v>
      </c>
      <c r="E220" s="1" t="s">
        <v>376</v>
      </c>
    </row>
    <row r="221" spans="1:5" x14ac:dyDescent="0.25">
      <c r="A221" s="1" t="s">
        <v>412</v>
      </c>
      <c r="B221" s="1" t="s">
        <v>230</v>
      </c>
      <c r="C221" s="1" t="s">
        <v>25</v>
      </c>
      <c r="D221">
        <v>22</v>
      </c>
      <c r="E221" s="1" t="s">
        <v>376</v>
      </c>
    </row>
    <row r="222" spans="1:5" x14ac:dyDescent="0.25">
      <c r="A222" s="1" t="s">
        <v>413</v>
      </c>
      <c r="B222" s="1" t="s">
        <v>232</v>
      </c>
      <c r="C222" s="1" t="s">
        <v>29</v>
      </c>
      <c r="D222">
        <v>30</v>
      </c>
      <c r="E222" s="1" t="s">
        <v>376</v>
      </c>
    </row>
    <row r="223" spans="1:5" x14ac:dyDescent="0.25">
      <c r="A223" s="1" t="s">
        <v>414</v>
      </c>
      <c r="B223" s="1" t="s">
        <v>234</v>
      </c>
      <c r="C223" s="1" t="s">
        <v>25</v>
      </c>
      <c r="D223">
        <v>47</v>
      </c>
      <c r="E223" s="1" t="s">
        <v>376</v>
      </c>
    </row>
    <row r="224" spans="1:5" x14ac:dyDescent="0.25">
      <c r="A224" s="1" t="s">
        <v>415</v>
      </c>
      <c r="B224" s="1" t="s">
        <v>416</v>
      </c>
      <c r="C224" s="1" t="s">
        <v>25</v>
      </c>
      <c r="D224">
        <v>34</v>
      </c>
      <c r="E224" s="1" t="s">
        <v>417</v>
      </c>
    </row>
    <row r="225" spans="1:5" x14ac:dyDescent="0.25">
      <c r="A225" s="1" t="s">
        <v>418</v>
      </c>
      <c r="B225" s="1" t="s">
        <v>375</v>
      </c>
      <c r="C225" s="1" t="s">
        <v>29</v>
      </c>
      <c r="D225">
        <v>28</v>
      </c>
      <c r="E225" s="1" t="s">
        <v>417</v>
      </c>
    </row>
    <row r="226" spans="1:5" x14ac:dyDescent="0.25">
      <c r="A226" s="1" t="s">
        <v>419</v>
      </c>
      <c r="B226" s="1" t="s">
        <v>420</v>
      </c>
      <c r="C226" s="1" t="s">
        <v>25</v>
      </c>
      <c r="D226">
        <v>52</v>
      </c>
      <c r="E226" s="1" t="s">
        <v>417</v>
      </c>
    </row>
    <row r="227" spans="1:5" x14ac:dyDescent="0.25">
      <c r="A227" s="1" t="s">
        <v>421</v>
      </c>
      <c r="B227" s="1" t="s">
        <v>422</v>
      </c>
      <c r="C227" s="1" t="s">
        <v>29</v>
      </c>
      <c r="D227">
        <v>19</v>
      </c>
      <c r="E227" s="1" t="s">
        <v>417</v>
      </c>
    </row>
    <row r="228" spans="1:5" x14ac:dyDescent="0.25">
      <c r="A228" s="1" t="s">
        <v>423</v>
      </c>
      <c r="B228" s="1" t="s">
        <v>424</v>
      </c>
      <c r="C228" s="1" t="s">
        <v>25</v>
      </c>
      <c r="D228">
        <v>41</v>
      </c>
      <c r="E228" s="1" t="s">
        <v>417</v>
      </c>
    </row>
    <row r="229" spans="1:5" x14ac:dyDescent="0.25">
      <c r="A229" s="1" t="s">
        <v>425</v>
      </c>
      <c r="B229" s="1" t="s">
        <v>426</v>
      </c>
      <c r="C229" s="1" t="s">
        <v>29</v>
      </c>
      <c r="D229">
        <v>33</v>
      </c>
      <c r="E229" s="1" t="s">
        <v>417</v>
      </c>
    </row>
    <row r="230" spans="1:5" x14ac:dyDescent="0.25">
      <c r="A230" s="1" t="s">
        <v>427</v>
      </c>
      <c r="B230" s="1" t="s">
        <v>282</v>
      </c>
      <c r="C230" s="1" t="s">
        <v>25</v>
      </c>
      <c r="D230">
        <v>60</v>
      </c>
      <c r="E230" s="1" t="s">
        <v>417</v>
      </c>
    </row>
    <row r="231" spans="1:5" x14ac:dyDescent="0.25">
      <c r="A231" s="1" t="s">
        <v>428</v>
      </c>
      <c r="B231" s="1" t="s">
        <v>41</v>
      </c>
      <c r="C231" s="1" t="s">
        <v>29</v>
      </c>
      <c r="D231">
        <v>25</v>
      </c>
      <c r="E231" s="1" t="s">
        <v>417</v>
      </c>
    </row>
    <row r="232" spans="1:5" x14ac:dyDescent="0.25">
      <c r="A232" s="1" t="s">
        <v>429</v>
      </c>
      <c r="B232" s="1" t="s">
        <v>43</v>
      </c>
      <c r="C232" s="1" t="s">
        <v>25</v>
      </c>
      <c r="D232">
        <v>12</v>
      </c>
      <c r="E232" s="1" t="s">
        <v>417</v>
      </c>
    </row>
    <row r="233" spans="1:5" x14ac:dyDescent="0.25">
      <c r="A233" s="1" t="s">
        <v>430</v>
      </c>
      <c r="B233" s="1" t="s">
        <v>45</v>
      </c>
      <c r="C233" s="1" t="s">
        <v>29</v>
      </c>
      <c r="D233">
        <v>44</v>
      </c>
      <c r="E233" s="1" t="s">
        <v>417</v>
      </c>
    </row>
    <row r="234" spans="1:5" x14ac:dyDescent="0.25">
      <c r="A234" s="1" t="s">
        <v>431</v>
      </c>
      <c r="B234" s="1" t="s">
        <v>47</v>
      </c>
      <c r="C234" s="1" t="s">
        <v>25</v>
      </c>
      <c r="D234">
        <v>37</v>
      </c>
      <c r="E234" s="1" t="s">
        <v>417</v>
      </c>
    </row>
    <row r="235" spans="1:5" x14ac:dyDescent="0.25">
      <c r="A235" s="1" t="s">
        <v>432</v>
      </c>
      <c r="B235" s="1" t="s">
        <v>49</v>
      </c>
      <c r="C235" s="1" t="s">
        <v>29</v>
      </c>
      <c r="D235">
        <v>29</v>
      </c>
      <c r="E235" s="1" t="s">
        <v>417</v>
      </c>
    </row>
    <row r="236" spans="1:5" x14ac:dyDescent="0.25">
      <c r="A236" s="1" t="s">
        <v>433</v>
      </c>
      <c r="B236" s="1" t="s">
        <v>51</v>
      </c>
      <c r="C236" s="1" t="s">
        <v>25</v>
      </c>
      <c r="D236">
        <v>50</v>
      </c>
      <c r="E236" s="1" t="s">
        <v>417</v>
      </c>
    </row>
    <row r="237" spans="1:5" x14ac:dyDescent="0.25">
      <c r="A237" s="1" t="s">
        <v>434</v>
      </c>
      <c r="B237" s="1" t="s">
        <v>53</v>
      </c>
      <c r="C237" s="1" t="s">
        <v>29</v>
      </c>
      <c r="D237">
        <v>16</v>
      </c>
      <c r="E237" s="1" t="s">
        <v>417</v>
      </c>
    </row>
    <row r="238" spans="1:5" x14ac:dyDescent="0.25">
      <c r="A238" s="1" t="s">
        <v>435</v>
      </c>
      <c r="B238" s="1" t="s">
        <v>55</v>
      </c>
      <c r="C238" s="1" t="s">
        <v>25</v>
      </c>
      <c r="D238">
        <v>61</v>
      </c>
      <c r="E238" s="1" t="s">
        <v>417</v>
      </c>
    </row>
    <row r="239" spans="1:5" x14ac:dyDescent="0.25">
      <c r="A239" s="1" t="s">
        <v>436</v>
      </c>
      <c r="B239" s="1" t="s">
        <v>57</v>
      </c>
      <c r="C239" s="1" t="s">
        <v>29</v>
      </c>
      <c r="D239">
        <v>38</v>
      </c>
      <c r="E239" s="1" t="s">
        <v>417</v>
      </c>
    </row>
    <row r="240" spans="1:5" x14ac:dyDescent="0.25">
      <c r="A240" s="1" t="s">
        <v>437</v>
      </c>
      <c r="B240" s="1" t="s">
        <v>59</v>
      </c>
      <c r="C240" s="1" t="s">
        <v>25</v>
      </c>
      <c r="D240">
        <v>27</v>
      </c>
      <c r="E240" s="1" t="s">
        <v>417</v>
      </c>
    </row>
    <row r="241" spans="1:5" x14ac:dyDescent="0.25">
      <c r="A241" s="1" t="s">
        <v>438</v>
      </c>
      <c r="B241" s="1" t="s">
        <v>61</v>
      </c>
      <c r="C241" s="1" t="s">
        <v>29</v>
      </c>
      <c r="D241">
        <v>45</v>
      </c>
      <c r="E241" s="1" t="s">
        <v>417</v>
      </c>
    </row>
    <row r="242" spans="1:5" x14ac:dyDescent="0.25">
      <c r="A242" s="1" t="s">
        <v>439</v>
      </c>
      <c r="B242" s="1" t="s">
        <v>63</v>
      </c>
      <c r="C242" s="1" t="s">
        <v>25</v>
      </c>
      <c r="D242">
        <v>31</v>
      </c>
      <c r="E242" s="1" t="s">
        <v>417</v>
      </c>
    </row>
    <row r="243" spans="1:5" x14ac:dyDescent="0.25">
      <c r="A243" s="1" t="s">
        <v>440</v>
      </c>
      <c r="B243" s="1" t="s">
        <v>65</v>
      </c>
      <c r="C243" s="1" t="s">
        <v>29</v>
      </c>
      <c r="D243">
        <v>22</v>
      </c>
      <c r="E243" s="1" t="s">
        <v>417</v>
      </c>
    </row>
    <row r="244" spans="1:5" x14ac:dyDescent="0.25">
      <c r="A244" s="1" t="s">
        <v>441</v>
      </c>
      <c r="B244" s="1" t="s">
        <v>67</v>
      </c>
      <c r="C244" s="1" t="s">
        <v>25</v>
      </c>
      <c r="D244">
        <v>55</v>
      </c>
      <c r="E244" s="1" t="s">
        <v>417</v>
      </c>
    </row>
    <row r="245" spans="1:5" x14ac:dyDescent="0.25">
      <c r="A245" s="1" t="s">
        <v>442</v>
      </c>
      <c r="B245" s="1" t="s">
        <v>69</v>
      </c>
      <c r="C245" s="1" t="s">
        <v>29</v>
      </c>
      <c r="D245">
        <v>40</v>
      </c>
      <c r="E245" s="1" t="s">
        <v>417</v>
      </c>
    </row>
    <row r="246" spans="1:5" x14ac:dyDescent="0.25">
      <c r="A246" s="1" t="s">
        <v>443</v>
      </c>
      <c r="B246" s="1" t="s">
        <v>71</v>
      </c>
      <c r="C246" s="1" t="s">
        <v>25</v>
      </c>
      <c r="D246">
        <v>48</v>
      </c>
      <c r="E246" s="1" t="s">
        <v>417</v>
      </c>
    </row>
    <row r="247" spans="1:5" x14ac:dyDescent="0.25">
      <c r="A247" s="1" t="s">
        <v>444</v>
      </c>
      <c r="B247" s="1" t="s">
        <v>73</v>
      </c>
      <c r="C247" s="1" t="s">
        <v>29</v>
      </c>
      <c r="D247">
        <v>18</v>
      </c>
      <c r="E247" s="1" t="s">
        <v>417</v>
      </c>
    </row>
    <row r="248" spans="1:5" x14ac:dyDescent="0.25">
      <c r="A248" s="1" t="s">
        <v>445</v>
      </c>
      <c r="B248" s="1" t="s">
        <v>75</v>
      </c>
      <c r="C248" s="1" t="s">
        <v>25</v>
      </c>
      <c r="D248">
        <v>9</v>
      </c>
      <c r="E248" s="1" t="s">
        <v>417</v>
      </c>
    </row>
    <row r="249" spans="1:5" x14ac:dyDescent="0.25">
      <c r="A249" s="1" t="s">
        <v>446</v>
      </c>
      <c r="B249" s="1" t="s">
        <v>77</v>
      </c>
      <c r="C249" s="1" t="s">
        <v>29</v>
      </c>
      <c r="D249">
        <v>36</v>
      </c>
      <c r="E249" s="1" t="s">
        <v>417</v>
      </c>
    </row>
    <row r="250" spans="1:5" x14ac:dyDescent="0.25">
      <c r="A250" s="1" t="s">
        <v>447</v>
      </c>
      <c r="B250" s="1" t="s">
        <v>79</v>
      </c>
      <c r="C250" s="1" t="s">
        <v>25</v>
      </c>
      <c r="D250">
        <v>43</v>
      </c>
      <c r="E250" s="1" t="s">
        <v>417</v>
      </c>
    </row>
    <row r="251" spans="1:5" x14ac:dyDescent="0.25">
      <c r="A251" s="1" t="s">
        <v>448</v>
      </c>
      <c r="B251" s="1" t="s">
        <v>270</v>
      </c>
      <c r="C251" s="1" t="s">
        <v>25</v>
      </c>
      <c r="D251">
        <v>34</v>
      </c>
      <c r="E251" s="1" t="s">
        <v>449</v>
      </c>
    </row>
    <row r="252" spans="1:5" x14ac:dyDescent="0.25">
      <c r="A252" s="1" t="s">
        <v>450</v>
      </c>
      <c r="B252" s="1" t="s">
        <v>375</v>
      </c>
      <c r="C252" s="1" t="s">
        <v>29</v>
      </c>
      <c r="D252">
        <v>28</v>
      </c>
      <c r="E252" s="1" t="s">
        <v>449</v>
      </c>
    </row>
    <row r="253" spans="1:5" x14ac:dyDescent="0.25">
      <c r="A253" s="1" t="s">
        <v>451</v>
      </c>
      <c r="B253" s="1" t="s">
        <v>452</v>
      </c>
      <c r="C253" s="1" t="s">
        <v>25</v>
      </c>
      <c r="D253">
        <v>52</v>
      </c>
      <c r="E253" s="1" t="s">
        <v>449</v>
      </c>
    </row>
    <row r="254" spans="1:5" x14ac:dyDescent="0.25">
      <c r="A254" s="1" t="s">
        <v>453</v>
      </c>
      <c r="B254" s="1" t="s">
        <v>296</v>
      </c>
      <c r="C254" s="1" t="s">
        <v>29</v>
      </c>
      <c r="D254">
        <v>19</v>
      </c>
      <c r="E254" s="1" t="s">
        <v>449</v>
      </c>
    </row>
    <row r="255" spans="1:5" x14ac:dyDescent="0.25">
      <c r="A255" s="1" t="s">
        <v>454</v>
      </c>
      <c r="B255" s="1" t="s">
        <v>424</v>
      </c>
      <c r="C255" s="1" t="s">
        <v>25</v>
      </c>
      <c r="D255">
        <v>41</v>
      </c>
      <c r="E255" s="1" t="s">
        <v>449</v>
      </c>
    </row>
    <row r="256" spans="1:5" x14ac:dyDescent="0.25">
      <c r="A256" s="1" t="s">
        <v>455</v>
      </c>
      <c r="B256" s="1" t="s">
        <v>426</v>
      </c>
      <c r="C256" s="1" t="s">
        <v>29</v>
      </c>
      <c r="D256">
        <v>33</v>
      </c>
      <c r="E256" s="1" t="s">
        <v>449</v>
      </c>
    </row>
    <row r="257" spans="1:5" x14ac:dyDescent="0.25">
      <c r="A257" s="1" t="s">
        <v>456</v>
      </c>
      <c r="B257" s="1" t="s">
        <v>282</v>
      </c>
      <c r="C257" s="1" t="s">
        <v>25</v>
      </c>
      <c r="D257">
        <v>60</v>
      </c>
      <c r="E257" s="1" t="s">
        <v>449</v>
      </c>
    </row>
    <row r="258" spans="1:5" x14ac:dyDescent="0.25">
      <c r="A258" s="1" t="s">
        <v>457</v>
      </c>
      <c r="B258" s="1" t="s">
        <v>41</v>
      </c>
      <c r="C258" s="1" t="s">
        <v>29</v>
      </c>
      <c r="D258">
        <v>25</v>
      </c>
      <c r="E258" s="1" t="s">
        <v>449</v>
      </c>
    </row>
    <row r="259" spans="1:5" x14ac:dyDescent="0.25">
      <c r="A259" s="1" t="s">
        <v>458</v>
      </c>
      <c r="B259" s="1" t="s">
        <v>43</v>
      </c>
      <c r="C259" s="1" t="s">
        <v>25</v>
      </c>
      <c r="D259">
        <v>12</v>
      </c>
      <c r="E259" s="1" t="s">
        <v>449</v>
      </c>
    </row>
    <row r="260" spans="1:5" x14ac:dyDescent="0.25">
      <c r="A260" s="1" t="s">
        <v>459</v>
      </c>
      <c r="B260" s="1" t="s">
        <v>45</v>
      </c>
      <c r="C260" s="1" t="s">
        <v>29</v>
      </c>
      <c r="D260">
        <v>44</v>
      </c>
      <c r="E260" s="1" t="s">
        <v>449</v>
      </c>
    </row>
    <row r="261" spans="1:5" x14ac:dyDescent="0.25">
      <c r="A261" s="1" t="s">
        <v>460</v>
      </c>
      <c r="B261" s="1" t="s">
        <v>47</v>
      </c>
      <c r="C261" s="1" t="s">
        <v>25</v>
      </c>
      <c r="D261">
        <v>37</v>
      </c>
      <c r="E261" s="1" t="s">
        <v>449</v>
      </c>
    </row>
    <row r="262" spans="1:5" x14ac:dyDescent="0.25">
      <c r="A262" s="1" t="s">
        <v>461</v>
      </c>
      <c r="B262" s="1" t="s">
        <v>49</v>
      </c>
      <c r="C262" s="1" t="s">
        <v>29</v>
      </c>
      <c r="D262">
        <v>29</v>
      </c>
      <c r="E262" s="1" t="s">
        <v>449</v>
      </c>
    </row>
    <row r="263" spans="1:5" x14ac:dyDescent="0.25">
      <c r="A263" s="1" t="s">
        <v>462</v>
      </c>
      <c r="B263" s="1" t="s">
        <v>51</v>
      </c>
      <c r="C263" s="1" t="s">
        <v>25</v>
      </c>
      <c r="D263">
        <v>50</v>
      </c>
      <c r="E263" s="1" t="s">
        <v>449</v>
      </c>
    </row>
    <row r="264" spans="1:5" x14ac:dyDescent="0.25">
      <c r="A264" s="1" t="s">
        <v>463</v>
      </c>
      <c r="B264" s="1" t="s">
        <v>53</v>
      </c>
      <c r="C264" s="1" t="s">
        <v>29</v>
      </c>
      <c r="D264">
        <v>16</v>
      </c>
      <c r="E264" s="1" t="s">
        <v>449</v>
      </c>
    </row>
    <row r="265" spans="1:5" x14ac:dyDescent="0.25">
      <c r="A265" s="1" t="s">
        <v>464</v>
      </c>
      <c r="B265" s="1" t="s">
        <v>55</v>
      </c>
      <c r="C265" s="1" t="s">
        <v>25</v>
      </c>
      <c r="D265">
        <v>61</v>
      </c>
      <c r="E265" s="1" t="s">
        <v>449</v>
      </c>
    </row>
    <row r="266" spans="1:5" x14ac:dyDescent="0.25">
      <c r="A266" s="1" t="s">
        <v>465</v>
      </c>
      <c r="B266" s="1" t="s">
        <v>57</v>
      </c>
      <c r="C266" s="1" t="s">
        <v>29</v>
      </c>
      <c r="D266">
        <v>38</v>
      </c>
      <c r="E266" s="1" t="s">
        <v>449</v>
      </c>
    </row>
    <row r="267" spans="1:5" x14ac:dyDescent="0.25">
      <c r="A267" s="1" t="s">
        <v>466</v>
      </c>
      <c r="B267" s="1" t="s">
        <v>59</v>
      </c>
      <c r="C267" s="1" t="s">
        <v>25</v>
      </c>
      <c r="D267">
        <v>27</v>
      </c>
      <c r="E267" s="1" t="s">
        <v>449</v>
      </c>
    </row>
    <row r="268" spans="1:5" x14ac:dyDescent="0.25">
      <c r="A268" s="1" t="s">
        <v>467</v>
      </c>
      <c r="B268" s="1" t="s">
        <v>61</v>
      </c>
      <c r="C268" s="1" t="s">
        <v>29</v>
      </c>
      <c r="D268">
        <v>45</v>
      </c>
      <c r="E268" s="1" t="s">
        <v>449</v>
      </c>
    </row>
    <row r="269" spans="1:5" x14ac:dyDescent="0.25">
      <c r="A269" s="1" t="s">
        <v>468</v>
      </c>
      <c r="B269" s="1" t="s">
        <v>63</v>
      </c>
      <c r="C269" s="1" t="s">
        <v>25</v>
      </c>
      <c r="D269">
        <v>31</v>
      </c>
      <c r="E269" s="1" t="s">
        <v>449</v>
      </c>
    </row>
    <row r="270" spans="1:5" x14ac:dyDescent="0.25">
      <c r="A270" s="1" t="s">
        <v>469</v>
      </c>
      <c r="B270" s="1" t="s">
        <v>65</v>
      </c>
      <c r="C270" s="1" t="s">
        <v>29</v>
      </c>
      <c r="D270">
        <v>22</v>
      </c>
      <c r="E270" s="1" t="s">
        <v>449</v>
      </c>
    </row>
    <row r="271" spans="1:5" x14ac:dyDescent="0.25">
      <c r="A271" s="1" t="s">
        <v>470</v>
      </c>
      <c r="B271" s="1" t="s">
        <v>67</v>
      </c>
      <c r="C271" s="1" t="s">
        <v>25</v>
      </c>
      <c r="D271">
        <v>55</v>
      </c>
      <c r="E271" s="1" t="s">
        <v>449</v>
      </c>
    </row>
    <row r="272" spans="1:5" x14ac:dyDescent="0.25">
      <c r="A272" s="1" t="s">
        <v>471</v>
      </c>
      <c r="B272" s="1" t="s">
        <v>69</v>
      </c>
      <c r="C272" s="1" t="s">
        <v>29</v>
      </c>
      <c r="D272">
        <v>40</v>
      </c>
      <c r="E272" s="1" t="s">
        <v>449</v>
      </c>
    </row>
    <row r="273" spans="1:5" x14ac:dyDescent="0.25">
      <c r="A273" s="1" t="s">
        <v>472</v>
      </c>
      <c r="B273" s="1" t="s">
        <v>73</v>
      </c>
      <c r="C273" s="1" t="s">
        <v>29</v>
      </c>
      <c r="D273">
        <v>18</v>
      </c>
      <c r="E273" s="1" t="s">
        <v>449</v>
      </c>
    </row>
    <row r="274" spans="1:5" x14ac:dyDescent="0.25">
      <c r="A274" s="1" t="s">
        <v>473</v>
      </c>
      <c r="B274" s="1" t="s">
        <v>75</v>
      </c>
      <c r="C274" s="1" t="s">
        <v>25</v>
      </c>
      <c r="D274">
        <v>9</v>
      </c>
      <c r="E274" s="1" t="s">
        <v>449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3D7D4-4C7F-45B0-8685-644234672B98}">
  <dimension ref="A1:C6"/>
  <sheetViews>
    <sheetView workbookViewId="0"/>
  </sheetViews>
  <sheetFormatPr defaultRowHeight="15" x14ac:dyDescent="0.25"/>
  <cols>
    <col min="1" max="1" width="11" bestFit="1" customWidth="1"/>
    <col min="2" max="2" width="16.140625" bestFit="1" customWidth="1"/>
    <col min="3" max="3" width="16.85546875" bestFit="1" customWidth="1"/>
  </cols>
  <sheetData>
    <row r="1" spans="1:3" x14ac:dyDescent="0.25">
      <c r="A1" t="s">
        <v>0</v>
      </c>
      <c r="B1" t="s">
        <v>1</v>
      </c>
      <c r="C1" t="s">
        <v>2</v>
      </c>
    </row>
    <row r="2" spans="1:3" x14ac:dyDescent="0.25">
      <c r="A2" s="1" t="s">
        <v>3</v>
      </c>
      <c r="B2" s="1" t="s">
        <v>4</v>
      </c>
      <c r="C2" s="1" t="s">
        <v>5</v>
      </c>
    </row>
    <row r="3" spans="1:3" x14ac:dyDescent="0.25">
      <c r="A3" s="1" t="s">
        <v>6</v>
      </c>
      <c r="B3" s="1" t="s">
        <v>7</v>
      </c>
      <c r="C3" s="1" t="s">
        <v>8</v>
      </c>
    </row>
    <row r="4" spans="1:3" x14ac:dyDescent="0.25">
      <c r="A4" s="1" t="s">
        <v>9</v>
      </c>
      <c r="B4" s="1" t="s">
        <v>10</v>
      </c>
      <c r="C4" s="1" t="s">
        <v>11</v>
      </c>
    </row>
    <row r="5" spans="1:3" x14ac:dyDescent="0.25">
      <c r="A5" s="1" t="s">
        <v>12</v>
      </c>
      <c r="B5" s="1" t="s">
        <v>13</v>
      </c>
      <c r="C5" s="1" t="s">
        <v>14</v>
      </c>
    </row>
    <row r="6" spans="1:3" x14ac:dyDescent="0.25">
      <c r="A6" s="1" t="s">
        <v>15</v>
      </c>
      <c r="B6" s="1" t="s">
        <v>16</v>
      </c>
      <c r="C6" s="1" t="s">
        <v>17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9B467-113C-4F3D-B66E-58AD61FF94E8}">
  <dimension ref="A1:Q279"/>
  <sheetViews>
    <sheetView workbookViewId="0">
      <selection activeCell="G11" sqref="G11"/>
    </sheetView>
  </sheetViews>
  <sheetFormatPr defaultRowHeight="15" x14ac:dyDescent="0.25"/>
  <cols>
    <col min="1" max="1" width="14.42578125" bestFit="1" customWidth="1"/>
    <col min="2" max="2" width="11.5703125" bestFit="1" customWidth="1"/>
    <col min="3" max="3" width="11" bestFit="1" customWidth="1"/>
    <col min="4" max="4" width="16.85546875" bestFit="1" customWidth="1"/>
    <col min="5" max="5" width="16.140625" bestFit="1" customWidth="1"/>
    <col min="6" max="6" width="14.7109375" bestFit="1" customWidth="1"/>
    <col min="7" max="7" width="23.140625" bestFit="1" customWidth="1"/>
    <col min="8" max="8" width="18" bestFit="1" customWidth="1"/>
    <col min="9" max="9" width="14.5703125" bestFit="1" customWidth="1"/>
    <col min="10" max="10" width="20.5703125" bestFit="1" customWidth="1"/>
    <col min="11" max="11" width="22" bestFit="1" customWidth="1"/>
    <col min="12" max="12" width="21.5703125" bestFit="1" customWidth="1"/>
    <col min="13" max="13" width="29.140625" bestFit="1" customWidth="1"/>
    <col min="14" max="14" width="27.5703125" bestFit="1" customWidth="1"/>
    <col min="15" max="15" width="15.140625" bestFit="1" customWidth="1"/>
    <col min="16" max="16" width="11.140625" bestFit="1" customWidth="1"/>
    <col min="17" max="17" width="18.7109375" bestFit="1" customWidth="1"/>
  </cols>
  <sheetData>
    <row r="1" spans="1:17" x14ac:dyDescent="0.25">
      <c r="A1" t="s">
        <v>475</v>
      </c>
      <c r="B1" t="s">
        <v>18</v>
      </c>
      <c r="C1" t="s">
        <v>0</v>
      </c>
      <c r="D1" t="s">
        <v>1068</v>
      </c>
      <c r="E1" t="s">
        <v>1069</v>
      </c>
      <c r="F1" t="s">
        <v>1070</v>
      </c>
      <c r="G1" t="s">
        <v>1071</v>
      </c>
      <c r="H1" t="s">
        <v>1072</v>
      </c>
      <c r="I1" t="s">
        <v>1073</v>
      </c>
      <c r="J1" t="s">
        <v>1074</v>
      </c>
      <c r="K1" t="s">
        <v>1075</v>
      </c>
      <c r="L1" t="s">
        <v>1076</v>
      </c>
      <c r="M1" t="s">
        <v>1077</v>
      </c>
      <c r="N1" t="s">
        <v>1078</v>
      </c>
      <c r="O1" t="s">
        <v>1079</v>
      </c>
      <c r="P1" t="s">
        <v>1080</v>
      </c>
      <c r="Q1" t="s">
        <v>1081</v>
      </c>
    </row>
    <row r="2" spans="1:17" x14ac:dyDescent="0.25">
      <c r="A2" s="1" t="s">
        <v>485</v>
      </c>
      <c r="B2" s="1" t="s">
        <v>30</v>
      </c>
      <c r="C2" s="1" t="s">
        <v>9</v>
      </c>
      <c r="D2" s="2">
        <v>45708</v>
      </c>
      <c r="E2" s="2">
        <v>45713</v>
      </c>
      <c r="F2" s="1" t="s">
        <v>1087</v>
      </c>
      <c r="G2" s="1" t="s">
        <v>31</v>
      </c>
      <c r="H2" s="1" t="s">
        <v>25</v>
      </c>
      <c r="I2">
        <v>52</v>
      </c>
      <c r="J2" s="1" t="s">
        <v>26</v>
      </c>
      <c r="K2" s="1" t="s">
        <v>10</v>
      </c>
      <c r="L2" s="1" t="s">
        <v>11</v>
      </c>
      <c r="M2" s="1" t="s">
        <v>486</v>
      </c>
      <c r="N2">
        <v>200</v>
      </c>
      <c r="O2">
        <v>5</v>
      </c>
      <c r="P2" t="s">
        <v>1088</v>
      </c>
      <c r="Q2" s="1" t="s">
        <v>1086</v>
      </c>
    </row>
    <row r="3" spans="1:17" x14ac:dyDescent="0.25">
      <c r="A3" s="1" t="s">
        <v>500</v>
      </c>
      <c r="B3" s="1" t="s">
        <v>40</v>
      </c>
      <c r="C3" s="1" t="s">
        <v>9</v>
      </c>
      <c r="D3" s="2">
        <v>45778</v>
      </c>
      <c r="E3" s="2">
        <v>45781</v>
      </c>
      <c r="F3" s="1" t="s">
        <v>1096</v>
      </c>
      <c r="G3" s="1" t="s">
        <v>41</v>
      </c>
      <c r="H3" s="1" t="s">
        <v>29</v>
      </c>
      <c r="I3">
        <v>25</v>
      </c>
      <c r="J3" s="1" t="s">
        <v>26</v>
      </c>
      <c r="K3" s="1" t="s">
        <v>10</v>
      </c>
      <c r="L3" s="1" t="s">
        <v>11</v>
      </c>
      <c r="M3" s="1" t="s">
        <v>501</v>
      </c>
      <c r="N3">
        <v>1250</v>
      </c>
      <c r="O3">
        <v>3</v>
      </c>
      <c r="P3" t="s">
        <v>1083</v>
      </c>
      <c r="Q3" s="1" t="s">
        <v>1097</v>
      </c>
    </row>
    <row r="4" spans="1:17" x14ac:dyDescent="0.25">
      <c r="A4" s="1" t="s">
        <v>515</v>
      </c>
      <c r="B4" s="1" t="s">
        <v>50</v>
      </c>
      <c r="C4" s="1" t="s">
        <v>9</v>
      </c>
      <c r="D4" s="2">
        <v>45828</v>
      </c>
      <c r="E4" s="2">
        <v>45833</v>
      </c>
      <c r="F4" s="1" t="s">
        <v>1103</v>
      </c>
      <c r="G4" s="1" t="s">
        <v>51</v>
      </c>
      <c r="H4" s="1" t="s">
        <v>25</v>
      </c>
      <c r="I4">
        <v>50</v>
      </c>
      <c r="J4" s="1" t="s">
        <v>26</v>
      </c>
      <c r="K4" s="1" t="s">
        <v>10</v>
      </c>
      <c r="L4" s="1" t="s">
        <v>11</v>
      </c>
      <c r="M4" s="1" t="s">
        <v>516</v>
      </c>
      <c r="N4">
        <v>340</v>
      </c>
      <c r="O4">
        <v>5</v>
      </c>
      <c r="P4" t="s">
        <v>1092</v>
      </c>
      <c r="Q4" s="1" t="s">
        <v>1102</v>
      </c>
    </row>
    <row r="5" spans="1:17" x14ac:dyDescent="0.25">
      <c r="A5" s="1" t="s">
        <v>530</v>
      </c>
      <c r="B5" s="1" t="s">
        <v>60</v>
      </c>
      <c r="C5" s="1" t="s">
        <v>9</v>
      </c>
      <c r="D5" s="2">
        <v>45879</v>
      </c>
      <c r="E5" s="2">
        <v>45883</v>
      </c>
      <c r="F5" s="1" t="s">
        <v>1089</v>
      </c>
      <c r="G5" s="1" t="s">
        <v>61</v>
      </c>
      <c r="H5" s="1" t="s">
        <v>29</v>
      </c>
      <c r="I5">
        <v>45</v>
      </c>
      <c r="J5" s="1" t="s">
        <v>26</v>
      </c>
      <c r="K5" s="1" t="s">
        <v>10</v>
      </c>
      <c r="L5" s="1" t="s">
        <v>11</v>
      </c>
      <c r="M5" s="1" t="s">
        <v>531</v>
      </c>
      <c r="N5">
        <v>90</v>
      </c>
      <c r="O5">
        <v>4</v>
      </c>
      <c r="P5" t="s">
        <v>1092</v>
      </c>
      <c r="Q5" s="1" t="s">
        <v>1106</v>
      </c>
    </row>
    <row r="6" spans="1:17" x14ac:dyDescent="0.25">
      <c r="A6" s="1" t="s">
        <v>545</v>
      </c>
      <c r="B6" s="1" t="s">
        <v>70</v>
      </c>
      <c r="C6" s="1" t="s">
        <v>9</v>
      </c>
      <c r="D6" s="2">
        <v>45931</v>
      </c>
      <c r="E6" s="2">
        <v>45935</v>
      </c>
      <c r="F6" s="1" t="s">
        <v>1100</v>
      </c>
      <c r="G6" s="1" t="s">
        <v>71</v>
      </c>
      <c r="H6" s="1" t="s">
        <v>25</v>
      </c>
      <c r="I6">
        <v>48</v>
      </c>
      <c r="J6" s="1" t="s">
        <v>26</v>
      </c>
      <c r="K6" s="1" t="s">
        <v>10</v>
      </c>
      <c r="L6" s="1" t="s">
        <v>11</v>
      </c>
      <c r="M6" s="1" t="s">
        <v>546</v>
      </c>
      <c r="N6">
        <v>110</v>
      </c>
      <c r="O6">
        <v>4</v>
      </c>
      <c r="P6" t="s">
        <v>1092</v>
      </c>
      <c r="Q6" s="1" t="s">
        <v>1108</v>
      </c>
    </row>
    <row r="7" spans="1:17" x14ac:dyDescent="0.25">
      <c r="A7" s="1" t="s">
        <v>560</v>
      </c>
      <c r="B7" s="1" t="s">
        <v>80</v>
      </c>
      <c r="C7" s="1" t="s">
        <v>9</v>
      </c>
      <c r="D7" s="2">
        <v>45971</v>
      </c>
      <c r="E7" s="2">
        <v>45975</v>
      </c>
      <c r="F7" s="1" t="s">
        <v>1087</v>
      </c>
      <c r="G7" s="1" t="s">
        <v>81</v>
      </c>
      <c r="H7" s="1" t="s">
        <v>29</v>
      </c>
      <c r="I7">
        <v>53</v>
      </c>
      <c r="J7" s="1" t="s">
        <v>26</v>
      </c>
      <c r="K7" s="1" t="s">
        <v>10</v>
      </c>
      <c r="L7" s="1" t="s">
        <v>11</v>
      </c>
      <c r="M7" s="1" t="s">
        <v>561</v>
      </c>
      <c r="N7">
        <v>180</v>
      </c>
      <c r="O7">
        <v>4</v>
      </c>
      <c r="P7" t="s">
        <v>1088</v>
      </c>
      <c r="Q7" s="1" t="s">
        <v>1109</v>
      </c>
    </row>
    <row r="8" spans="1:17" x14ac:dyDescent="0.25">
      <c r="A8" s="1" t="s">
        <v>575</v>
      </c>
      <c r="B8" s="1" t="s">
        <v>90</v>
      </c>
      <c r="C8" s="1" t="s">
        <v>9</v>
      </c>
      <c r="D8" s="2">
        <v>46001</v>
      </c>
      <c r="E8" s="2">
        <v>46005</v>
      </c>
      <c r="F8" s="1" t="s">
        <v>1095</v>
      </c>
      <c r="G8" s="1" t="s">
        <v>91</v>
      </c>
      <c r="H8" s="1" t="s">
        <v>25</v>
      </c>
      <c r="I8">
        <v>46</v>
      </c>
      <c r="J8" s="1" t="s">
        <v>26</v>
      </c>
      <c r="K8" s="1" t="s">
        <v>10</v>
      </c>
      <c r="L8" s="1" t="s">
        <v>11</v>
      </c>
      <c r="M8" s="1" t="s">
        <v>576</v>
      </c>
      <c r="N8">
        <v>140</v>
      </c>
      <c r="O8">
        <v>4</v>
      </c>
      <c r="P8" t="s">
        <v>1092</v>
      </c>
      <c r="Q8" s="1" t="s">
        <v>1110</v>
      </c>
    </row>
    <row r="9" spans="1:17" x14ac:dyDescent="0.25">
      <c r="A9" s="1" t="s">
        <v>781</v>
      </c>
      <c r="B9" s="1" t="s">
        <v>260</v>
      </c>
      <c r="C9" s="1" t="s">
        <v>9</v>
      </c>
      <c r="D9" s="2">
        <v>45850</v>
      </c>
      <c r="E9" s="2">
        <v>45854</v>
      </c>
      <c r="F9" s="1" t="s">
        <v>1087</v>
      </c>
      <c r="G9" s="1" t="s">
        <v>67</v>
      </c>
      <c r="H9" s="1" t="s">
        <v>25</v>
      </c>
      <c r="I9">
        <v>55</v>
      </c>
      <c r="J9" s="1" t="s">
        <v>238</v>
      </c>
      <c r="K9" s="1" t="s">
        <v>10</v>
      </c>
      <c r="L9" s="1" t="s">
        <v>11</v>
      </c>
      <c r="M9" s="1" t="s">
        <v>625</v>
      </c>
      <c r="N9">
        <v>190</v>
      </c>
      <c r="O9">
        <v>4</v>
      </c>
      <c r="P9" t="s">
        <v>1088</v>
      </c>
      <c r="Q9" s="1" t="s">
        <v>1105</v>
      </c>
    </row>
    <row r="10" spans="1:17" x14ac:dyDescent="0.25">
      <c r="A10" s="1" t="s">
        <v>773</v>
      </c>
      <c r="B10" s="1" t="s">
        <v>255</v>
      </c>
      <c r="C10" s="1" t="s">
        <v>9</v>
      </c>
      <c r="D10" s="2">
        <v>45810</v>
      </c>
      <c r="E10" s="2">
        <v>45814</v>
      </c>
      <c r="F10" s="1" t="s">
        <v>1103</v>
      </c>
      <c r="G10" s="1" t="s">
        <v>57</v>
      </c>
      <c r="H10" s="1" t="s">
        <v>29</v>
      </c>
      <c r="I10">
        <v>38</v>
      </c>
      <c r="J10" s="1" t="s">
        <v>238</v>
      </c>
      <c r="K10" s="1" t="s">
        <v>10</v>
      </c>
      <c r="L10" s="1" t="s">
        <v>11</v>
      </c>
      <c r="M10" s="1" t="s">
        <v>638</v>
      </c>
      <c r="N10">
        <v>330</v>
      </c>
      <c r="O10">
        <v>4</v>
      </c>
      <c r="P10" t="s">
        <v>1092</v>
      </c>
      <c r="Q10" s="1" t="s">
        <v>1102</v>
      </c>
    </row>
    <row r="11" spans="1:17" x14ac:dyDescent="0.25">
      <c r="A11" s="1" t="s">
        <v>763</v>
      </c>
      <c r="B11" s="1" t="s">
        <v>250</v>
      </c>
      <c r="C11" s="1" t="s">
        <v>9</v>
      </c>
      <c r="D11" s="2">
        <v>45765</v>
      </c>
      <c r="E11" s="2">
        <v>45769</v>
      </c>
      <c r="F11" s="1" t="s">
        <v>1087</v>
      </c>
      <c r="G11" s="1" t="s">
        <v>47</v>
      </c>
      <c r="H11" s="1" t="s">
        <v>25</v>
      </c>
      <c r="I11">
        <v>37</v>
      </c>
      <c r="J11" s="1" t="s">
        <v>238</v>
      </c>
      <c r="K11" s="1" t="s">
        <v>10</v>
      </c>
      <c r="L11" s="1" t="s">
        <v>11</v>
      </c>
      <c r="M11" s="1" t="s">
        <v>561</v>
      </c>
      <c r="N11">
        <v>180</v>
      </c>
      <c r="O11">
        <v>4</v>
      </c>
      <c r="P11" t="s">
        <v>1092</v>
      </c>
      <c r="Q11" s="1" t="s">
        <v>1094</v>
      </c>
    </row>
    <row r="12" spans="1:17" x14ac:dyDescent="0.25">
      <c r="A12" s="1" t="s">
        <v>668</v>
      </c>
      <c r="B12" s="1" t="s">
        <v>169</v>
      </c>
      <c r="C12" s="1" t="s">
        <v>9</v>
      </c>
      <c r="D12" s="2">
        <v>45682</v>
      </c>
      <c r="E12" s="2">
        <v>45686</v>
      </c>
      <c r="F12" s="1" t="s">
        <v>1087</v>
      </c>
      <c r="G12" s="1" t="s">
        <v>170</v>
      </c>
      <c r="H12" s="1" t="s">
        <v>25</v>
      </c>
      <c r="I12">
        <v>41</v>
      </c>
      <c r="J12" s="1" t="s">
        <v>168</v>
      </c>
      <c r="K12" s="1" t="s">
        <v>10</v>
      </c>
      <c r="L12" s="1" t="s">
        <v>11</v>
      </c>
      <c r="M12" s="1" t="s">
        <v>486</v>
      </c>
      <c r="N12">
        <v>200</v>
      </c>
      <c r="O12">
        <v>4</v>
      </c>
      <c r="P12" t="s">
        <v>1092</v>
      </c>
      <c r="Q12" s="1" t="s">
        <v>1084</v>
      </c>
    </row>
    <row r="13" spans="1:17" x14ac:dyDescent="0.25">
      <c r="A13" s="1" t="s">
        <v>709</v>
      </c>
      <c r="B13" s="1" t="s">
        <v>209</v>
      </c>
      <c r="C13" s="1" t="s">
        <v>9</v>
      </c>
      <c r="D13" s="2">
        <v>45883</v>
      </c>
      <c r="E13" s="2">
        <v>45887</v>
      </c>
      <c r="F13" s="1" t="s">
        <v>1095</v>
      </c>
      <c r="G13" s="1" t="s">
        <v>210</v>
      </c>
      <c r="H13" s="1" t="s">
        <v>25</v>
      </c>
      <c r="I13">
        <v>48</v>
      </c>
      <c r="J13" s="1" t="s">
        <v>168</v>
      </c>
      <c r="K13" s="1" t="s">
        <v>10</v>
      </c>
      <c r="L13" s="1" t="s">
        <v>11</v>
      </c>
      <c r="M13" s="1" t="s">
        <v>576</v>
      </c>
      <c r="N13">
        <v>140</v>
      </c>
      <c r="O13">
        <v>4</v>
      </c>
      <c r="P13" t="s">
        <v>1092</v>
      </c>
      <c r="Q13" s="1" t="s">
        <v>1106</v>
      </c>
    </row>
    <row r="14" spans="1:17" x14ac:dyDescent="0.25">
      <c r="A14" s="1" t="s">
        <v>688</v>
      </c>
      <c r="B14" s="1" t="s">
        <v>189</v>
      </c>
      <c r="C14" s="1" t="s">
        <v>9</v>
      </c>
      <c r="D14" s="2">
        <v>45787</v>
      </c>
      <c r="E14" s="2">
        <v>45791</v>
      </c>
      <c r="F14" s="1" t="s">
        <v>1087</v>
      </c>
      <c r="G14" s="1" t="s">
        <v>190</v>
      </c>
      <c r="H14" s="1" t="s">
        <v>25</v>
      </c>
      <c r="I14">
        <v>50</v>
      </c>
      <c r="J14" s="1" t="s">
        <v>168</v>
      </c>
      <c r="K14" s="1" t="s">
        <v>10</v>
      </c>
      <c r="L14" s="1" t="s">
        <v>11</v>
      </c>
      <c r="M14" s="1" t="s">
        <v>561</v>
      </c>
      <c r="N14">
        <v>180</v>
      </c>
      <c r="O14">
        <v>4</v>
      </c>
      <c r="P14" t="s">
        <v>1092</v>
      </c>
      <c r="Q14" s="1" t="s">
        <v>1097</v>
      </c>
    </row>
    <row r="15" spans="1:17" x14ac:dyDescent="0.25">
      <c r="A15" s="1" t="s">
        <v>678</v>
      </c>
      <c r="B15" s="1" t="s">
        <v>179</v>
      </c>
      <c r="C15" s="1" t="s">
        <v>9</v>
      </c>
      <c r="D15" s="2">
        <v>45734</v>
      </c>
      <c r="E15" s="2">
        <v>45737</v>
      </c>
      <c r="F15" s="1" t="s">
        <v>1093</v>
      </c>
      <c r="G15" s="1" t="s">
        <v>180</v>
      </c>
      <c r="H15" s="1" t="s">
        <v>29</v>
      </c>
      <c r="I15">
        <v>24</v>
      </c>
      <c r="J15" s="1" t="s">
        <v>168</v>
      </c>
      <c r="K15" s="1" t="s">
        <v>10</v>
      </c>
      <c r="L15" s="1" t="s">
        <v>11</v>
      </c>
      <c r="M15" s="1" t="s">
        <v>540</v>
      </c>
      <c r="N15">
        <v>160</v>
      </c>
      <c r="O15">
        <v>3</v>
      </c>
      <c r="P15" t="s">
        <v>1083</v>
      </c>
      <c r="Q15" s="1" t="s">
        <v>1090</v>
      </c>
    </row>
    <row r="16" spans="1:17" x14ac:dyDescent="0.25">
      <c r="A16" s="1" t="s">
        <v>698</v>
      </c>
      <c r="B16" s="1" t="s">
        <v>199</v>
      </c>
      <c r="C16" s="1" t="s">
        <v>9</v>
      </c>
      <c r="D16" s="2">
        <v>45836</v>
      </c>
      <c r="E16" s="2">
        <v>45840</v>
      </c>
      <c r="F16" s="1" t="s">
        <v>1103</v>
      </c>
      <c r="G16" s="1" t="s">
        <v>200</v>
      </c>
      <c r="H16" s="1" t="s">
        <v>29</v>
      </c>
      <c r="I16">
        <v>55</v>
      </c>
      <c r="J16" s="1" t="s">
        <v>168</v>
      </c>
      <c r="K16" s="1" t="s">
        <v>10</v>
      </c>
      <c r="L16" s="1" t="s">
        <v>11</v>
      </c>
      <c r="M16" s="1" t="s">
        <v>638</v>
      </c>
      <c r="N16">
        <v>330</v>
      </c>
      <c r="O16">
        <v>4</v>
      </c>
      <c r="P16" t="s">
        <v>1088</v>
      </c>
      <c r="Q16" s="1" t="s">
        <v>1102</v>
      </c>
    </row>
    <row r="17" spans="1:17" x14ac:dyDescent="0.25">
      <c r="A17" s="1" t="s">
        <v>734</v>
      </c>
      <c r="B17" s="1" t="s">
        <v>229</v>
      </c>
      <c r="C17" s="1" t="s">
        <v>9</v>
      </c>
      <c r="D17" s="2">
        <v>45979</v>
      </c>
      <c r="E17" s="2">
        <v>45983</v>
      </c>
      <c r="F17" s="1" t="s">
        <v>1095</v>
      </c>
      <c r="G17" s="1" t="s">
        <v>230</v>
      </c>
      <c r="H17" s="1" t="s">
        <v>25</v>
      </c>
      <c r="I17">
        <v>22</v>
      </c>
      <c r="J17" s="1" t="s">
        <v>168</v>
      </c>
      <c r="K17" s="1" t="s">
        <v>10</v>
      </c>
      <c r="L17" s="1" t="s">
        <v>11</v>
      </c>
      <c r="M17" s="1" t="s">
        <v>658</v>
      </c>
      <c r="N17">
        <v>140</v>
      </c>
      <c r="O17">
        <v>4</v>
      </c>
      <c r="P17" t="s">
        <v>1083</v>
      </c>
      <c r="Q17" s="1" t="s">
        <v>1109</v>
      </c>
    </row>
    <row r="18" spans="1:17" x14ac:dyDescent="0.25">
      <c r="A18" s="1" t="s">
        <v>719</v>
      </c>
      <c r="B18" s="1" t="s">
        <v>219</v>
      </c>
      <c r="C18" s="1" t="s">
        <v>9</v>
      </c>
      <c r="D18" s="2">
        <v>45931</v>
      </c>
      <c r="E18" s="2">
        <v>45935</v>
      </c>
      <c r="F18" s="1" t="s">
        <v>1087</v>
      </c>
      <c r="G18" s="1" t="s">
        <v>220</v>
      </c>
      <c r="H18" s="1" t="s">
        <v>29</v>
      </c>
      <c r="I18">
        <v>26</v>
      </c>
      <c r="J18" s="1" t="s">
        <v>168</v>
      </c>
      <c r="K18" s="1" t="s">
        <v>10</v>
      </c>
      <c r="L18" s="1" t="s">
        <v>11</v>
      </c>
      <c r="M18" s="1" t="s">
        <v>720</v>
      </c>
      <c r="N18">
        <v>180</v>
      </c>
      <c r="O18">
        <v>4</v>
      </c>
      <c r="P18" t="s">
        <v>1083</v>
      </c>
      <c r="Q18" s="1" t="s">
        <v>1108</v>
      </c>
    </row>
    <row r="19" spans="1:17" x14ac:dyDescent="0.25">
      <c r="A19" s="1" t="s">
        <v>743</v>
      </c>
      <c r="B19" s="1" t="s">
        <v>237</v>
      </c>
      <c r="C19" s="1" t="s">
        <v>9</v>
      </c>
      <c r="D19" s="2">
        <v>45667</v>
      </c>
      <c r="E19" s="2">
        <v>45671</v>
      </c>
      <c r="F19" s="1" t="s">
        <v>1082</v>
      </c>
      <c r="G19" s="1" t="s">
        <v>24</v>
      </c>
      <c r="H19" s="1" t="s">
        <v>25</v>
      </c>
      <c r="I19">
        <v>34</v>
      </c>
      <c r="J19" s="1" t="s">
        <v>238</v>
      </c>
      <c r="K19" s="1" t="s">
        <v>10</v>
      </c>
      <c r="L19" s="1" t="s">
        <v>11</v>
      </c>
      <c r="M19" s="1" t="s">
        <v>480</v>
      </c>
      <c r="N19">
        <v>120</v>
      </c>
      <c r="O19">
        <v>4</v>
      </c>
      <c r="P19" t="s">
        <v>1083</v>
      </c>
      <c r="Q19" s="1" t="s">
        <v>1084</v>
      </c>
    </row>
    <row r="20" spans="1:17" x14ac:dyDescent="0.25">
      <c r="A20" s="1" t="s">
        <v>791</v>
      </c>
      <c r="B20" s="1" t="s">
        <v>265</v>
      </c>
      <c r="C20" s="1" t="s">
        <v>9</v>
      </c>
      <c r="D20" s="2">
        <v>45889</v>
      </c>
      <c r="E20" s="2">
        <v>45893</v>
      </c>
      <c r="F20" s="1" t="s">
        <v>1103</v>
      </c>
      <c r="G20" s="1" t="s">
        <v>77</v>
      </c>
      <c r="H20" s="1" t="s">
        <v>29</v>
      </c>
      <c r="I20">
        <v>36</v>
      </c>
      <c r="J20" s="1" t="s">
        <v>238</v>
      </c>
      <c r="K20" s="1" t="s">
        <v>10</v>
      </c>
      <c r="L20" s="1" t="s">
        <v>11</v>
      </c>
      <c r="M20" s="1" t="s">
        <v>516</v>
      </c>
      <c r="N20">
        <v>340</v>
      </c>
      <c r="O20">
        <v>4</v>
      </c>
      <c r="P20" t="s">
        <v>1092</v>
      </c>
      <c r="Q20" s="1" t="s">
        <v>1106</v>
      </c>
    </row>
    <row r="21" spans="1:17" x14ac:dyDescent="0.25">
      <c r="A21" s="1" t="s">
        <v>753</v>
      </c>
      <c r="B21" s="1" t="s">
        <v>245</v>
      </c>
      <c r="C21" s="1" t="s">
        <v>9</v>
      </c>
      <c r="D21" s="2">
        <v>45717</v>
      </c>
      <c r="E21" s="2">
        <v>45721</v>
      </c>
      <c r="F21" s="1" t="s">
        <v>1103</v>
      </c>
      <c r="G21" s="1" t="s">
        <v>37</v>
      </c>
      <c r="H21" s="1" t="s">
        <v>29</v>
      </c>
      <c r="I21">
        <v>33</v>
      </c>
      <c r="J21" s="1" t="s">
        <v>238</v>
      </c>
      <c r="K21" s="1" t="s">
        <v>10</v>
      </c>
      <c r="L21" s="1" t="s">
        <v>11</v>
      </c>
      <c r="M21" s="1" t="s">
        <v>555</v>
      </c>
      <c r="N21">
        <v>340</v>
      </c>
      <c r="O21">
        <v>4</v>
      </c>
      <c r="P21" t="s">
        <v>1083</v>
      </c>
      <c r="Q21" s="1" t="s">
        <v>1090</v>
      </c>
    </row>
    <row r="22" spans="1:17" x14ac:dyDescent="0.25">
      <c r="A22" s="1" t="s">
        <v>801</v>
      </c>
      <c r="B22" s="1" t="s">
        <v>272</v>
      </c>
      <c r="C22" s="1" t="s">
        <v>9</v>
      </c>
      <c r="D22" s="2">
        <v>45675</v>
      </c>
      <c r="E22" s="2">
        <v>45679</v>
      </c>
      <c r="F22" s="1" t="s">
        <v>1087</v>
      </c>
      <c r="G22" s="1" t="s">
        <v>273</v>
      </c>
      <c r="H22" s="1" t="s">
        <v>29</v>
      </c>
      <c r="I22">
        <v>28</v>
      </c>
      <c r="J22" s="1" t="s">
        <v>271</v>
      </c>
      <c r="K22" s="1" t="s">
        <v>10</v>
      </c>
      <c r="L22" s="1" t="s">
        <v>11</v>
      </c>
      <c r="M22" s="1" t="s">
        <v>486</v>
      </c>
      <c r="N22">
        <v>200</v>
      </c>
      <c r="O22">
        <v>4</v>
      </c>
      <c r="P22" t="s">
        <v>1083</v>
      </c>
      <c r="Q22" s="1" t="s">
        <v>1084</v>
      </c>
    </row>
    <row r="23" spans="1:17" x14ac:dyDescent="0.25">
      <c r="A23" s="1" t="s">
        <v>819</v>
      </c>
      <c r="B23" s="1" t="s">
        <v>291</v>
      </c>
      <c r="C23" s="1" t="s">
        <v>9</v>
      </c>
      <c r="D23" s="2">
        <v>45772</v>
      </c>
      <c r="E23" s="2">
        <v>45776</v>
      </c>
      <c r="F23" s="1" t="s">
        <v>1087</v>
      </c>
      <c r="G23" s="1" t="s">
        <v>292</v>
      </c>
      <c r="H23" s="1" t="s">
        <v>29</v>
      </c>
      <c r="I23">
        <v>29</v>
      </c>
      <c r="J23" s="1" t="s">
        <v>271</v>
      </c>
      <c r="K23" s="1" t="s">
        <v>10</v>
      </c>
      <c r="L23" s="1" t="s">
        <v>11</v>
      </c>
      <c r="M23" s="1" t="s">
        <v>561</v>
      </c>
      <c r="N23">
        <v>180</v>
      </c>
      <c r="O23">
        <v>4</v>
      </c>
      <c r="P23" t="s">
        <v>1083</v>
      </c>
      <c r="Q23" s="1" t="s">
        <v>1094</v>
      </c>
    </row>
    <row r="24" spans="1:17" x14ac:dyDescent="0.25">
      <c r="A24" s="1" t="s">
        <v>828</v>
      </c>
      <c r="B24" s="1" t="s">
        <v>299</v>
      </c>
      <c r="C24" s="1" t="s">
        <v>9</v>
      </c>
      <c r="D24" s="2">
        <v>45813</v>
      </c>
      <c r="E24" s="2">
        <v>45817</v>
      </c>
      <c r="F24" s="1" t="s">
        <v>1095</v>
      </c>
      <c r="G24" s="1" t="s">
        <v>300</v>
      </c>
      <c r="H24" s="1" t="s">
        <v>25</v>
      </c>
      <c r="I24">
        <v>27</v>
      </c>
      <c r="J24" s="1" t="s">
        <v>271</v>
      </c>
      <c r="K24" s="1" t="s">
        <v>10</v>
      </c>
      <c r="L24" s="1" t="s">
        <v>11</v>
      </c>
      <c r="M24" s="1" t="s">
        <v>576</v>
      </c>
      <c r="N24">
        <v>140</v>
      </c>
      <c r="O24">
        <v>4</v>
      </c>
      <c r="P24" t="s">
        <v>1083</v>
      </c>
      <c r="Q24" s="1" t="s">
        <v>1102</v>
      </c>
    </row>
    <row r="25" spans="1:17" x14ac:dyDescent="0.25">
      <c r="A25" s="1" t="s">
        <v>838</v>
      </c>
      <c r="B25" s="1" t="s">
        <v>307</v>
      </c>
      <c r="C25" s="1" t="s">
        <v>9</v>
      </c>
      <c r="D25" s="2">
        <v>45856</v>
      </c>
      <c r="E25" s="2">
        <v>45860</v>
      </c>
      <c r="F25" s="1" t="s">
        <v>1103</v>
      </c>
      <c r="G25" s="1" t="s">
        <v>308</v>
      </c>
      <c r="H25" s="1" t="s">
        <v>29</v>
      </c>
      <c r="I25">
        <v>40</v>
      </c>
      <c r="J25" s="1" t="s">
        <v>271</v>
      </c>
      <c r="K25" s="1" t="s">
        <v>10</v>
      </c>
      <c r="L25" s="1" t="s">
        <v>11</v>
      </c>
      <c r="M25" s="1" t="s">
        <v>638</v>
      </c>
      <c r="N25">
        <v>330</v>
      </c>
      <c r="O25">
        <v>4</v>
      </c>
      <c r="P25" t="s">
        <v>1092</v>
      </c>
      <c r="Q25" s="1" t="s">
        <v>1105</v>
      </c>
    </row>
    <row r="26" spans="1:17" x14ac:dyDescent="0.25">
      <c r="A26" s="1" t="s">
        <v>811</v>
      </c>
      <c r="B26" s="1" t="s">
        <v>281</v>
      </c>
      <c r="C26" s="1" t="s">
        <v>9</v>
      </c>
      <c r="D26" s="2">
        <v>45726</v>
      </c>
      <c r="E26" s="2">
        <v>45730</v>
      </c>
      <c r="F26" s="1" t="s">
        <v>1093</v>
      </c>
      <c r="G26" s="1" t="s">
        <v>282</v>
      </c>
      <c r="H26" s="1" t="s">
        <v>25</v>
      </c>
      <c r="I26">
        <v>60</v>
      </c>
      <c r="J26" s="1" t="s">
        <v>271</v>
      </c>
      <c r="K26" s="1" t="s">
        <v>10</v>
      </c>
      <c r="L26" s="1" t="s">
        <v>11</v>
      </c>
      <c r="M26" s="1" t="s">
        <v>540</v>
      </c>
      <c r="N26">
        <v>160</v>
      </c>
      <c r="O26">
        <v>4</v>
      </c>
      <c r="P26" t="s">
        <v>1088</v>
      </c>
      <c r="Q26" s="1" t="s">
        <v>1090</v>
      </c>
    </row>
    <row r="27" spans="1:17" x14ac:dyDescent="0.25">
      <c r="A27" s="1" t="s">
        <v>652</v>
      </c>
      <c r="B27" s="1" t="s">
        <v>157</v>
      </c>
      <c r="C27" s="1" t="s">
        <v>9</v>
      </c>
      <c r="D27" s="2">
        <v>46001</v>
      </c>
      <c r="E27" s="2">
        <v>46005</v>
      </c>
      <c r="F27" s="1" t="s">
        <v>1087</v>
      </c>
      <c r="G27" s="1" t="s">
        <v>85</v>
      </c>
      <c r="H27" s="1" t="s">
        <v>29</v>
      </c>
      <c r="I27">
        <v>65</v>
      </c>
      <c r="J27" s="1" t="s">
        <v>98</v>
      </c>
      <c r="K27" s="1" t="s">
        <v>10</v>
      </c>
      <c r="L27" s="1" t="s">
        <v>11</v>
      </c>
      <c r="M27" s="1" t="s">
        <v>653</v>
      </c>
      <c r="N27">
        <v>180</v>
      </c>
      <c r="O27">
        <v>4</v>
      </c>
      <c r="P27" t="s">
        <v>1088</v>
      </c>
      <c r="Q27" s="1" t="s">
        <v>1110</v>
      </c>
    </row>
    <row r="28" spans="1:17" x14ac:dyDescent="0.25">
      <c r="A28" s="1" t="s">
        <v>652</v>
      </c>
      <c r="B28" s="1" t="s">
        <v>157</v>
      </c>
      <c r="C28" s="1" t="s">
        <v>9</v>
      </c>
      <c r="D28" s="2">
        <v>46001</v>
      </c>
      <c r="E28" s="2">
        <v>46005</v>
      </c>
      <c r="F28" s="1" t="s">
        <v>1087</v>
      </c>
      <c r="G28" s="1" t="s">
        <v>85</v>
      </c>
      <c r="H28" s="1" t="s">
        <v>29</v>
      </c>
      <c r="I28">
        <v>65</v>
      </c>
      <c r="J28" s="1" t="s">
        <v>98</v>
      </c>
      <c r="K28" s="1" t="s">
        <v>10</v>
      </c>
      <c r="L28" s="1" t="s">
        <v>11</v>
      </c>
      <c r="M28" s="1" t="s">
        <v>555</v>
      </c>
      <c r="N28">
        <v>340</v>
      </c>
      <c r="O28">
        <v>4</v>
      </c>
      <c r="P28" t="s">
        <v>1088</v>
      </c>
      <c r="Q28" s="1" t="s">
        <v>1110</v>
      </c>
    </row>
    <row r="29" spans="1:17" x14ac:dyDescent="0.25">
      <c r="A29" s="1" t="s">
        <v>876</v>
      </c>
      <c r="B29" s="1" t="s">
        <v>344</v>
      </c>
      <c r="C29" s="1" t="s">
        <v>9</v>
      </c>
      <c r="D29" s="2">
        <v>45799</v>
      </c>
      <c r="E29" s="2">
        <v>45803</v>
      </c>
      <c r="F29" s="1" t="s">
        <v>1095</v>
      </c>
      <c r="G29" s="1" t="s">
        <v>345</v>
      </c>
      <c r="H29" s="1" t="s">
        <v>29</v>
      </c>
      <c r="I29">
        <v>55</v>
      </c>
      <c r="J29" s="1" t="s">
        <v>315</v>
      </c>
      <c r="K29" s="1" t="s">
        <v>10</v>
      </c>
      <c r="L29" s="1" t="s">
        <v>11</v>
      </c>
      <c r="M29" s="1" t="s">
        <v>576</v>
      </c>
      <c r="N29">
        <v>140</v>
      </c>
      <c r="O29">
        <v>4</v>
      </c>
      <c r="P29" t="s">
        <v>1088</v>
      </c>
      <c r="Q29" s="1" t="s">
        <v>1097</v>
      </c>
    </row>
    <row r="30" spans="1:17" x14ac:dyDescent="0.25">
      <c r="A30" s="1" t="s">
        <v>868</v>
      </c>
      <c r="B30" s="1" t="s">
        <v>334</v>
      </c>
      <c r="C30" s="1" t="s">
        <v>9</v>
      </c>
      <c r="D30" s="2">
        <v>45757</v>
      </c>
      <c r="E30" s="2">
        <v>45761</v>
      </c>
      <c r="F30" s="1" t="s">
        <v>1087</v>
      </c>
      <c r="G30" s="1" t="s">
        <v>335</v>
      </c>
      <c r="H30" s="1" t="s">
        <v>25</v>
      </c>
      <c r="I30">
        <v>50</v>
      </c>
      <c r="J30" s="1" t="s">
        <v>315</v>
      </c>
      <c r="K30" s="1" t="s">
        <v>10</v>
      </c>
      <c r="L30" s="1" t="s">
        <v>11</v>
      </c>
      <c r="M30" s="1" t="s">
        <v>561</v>
      </c>
      <c r="N30">
        <v>180</v>
      </c>
      <c r="O30">
        <v>4</v>
      </c>
      <c r="P30" t="s">
        <v>1092</v>
      </c>
      <c r="Q30" s="1" t="s">
        <v>1094</v>
      </c>
    </row>
    <row r="31" spans="1:17" x14ac:dyDescent="0.25">
      <c r="A31" s="1" t="s">
        <v>894</v>
      </c>
      <c r="B31" s="1" t="s">
        <v>362</v>
      </c>
      <c r="C31" s="1" t="s">
        <v>9</v>
      </c>
      <c r="D31" s="2">
        <v>45879</v>
      </c>
      <c r="E31" s="2">
        <v>45883</v>
      </c>
      <c r="F31" s="1" t="s">
        <v>1085</v>
      </c>
      <c r="G31" s="1" t="s">
        <v>363</v>
      </c>
      <c r="H31" s="1" t="s">
        <v>29</v>
      </c>
      <c r="I31">
        <v>26</v>
      </c>
      <c r="J31" s="1" t="s">
        <v>315</v>
      </c>
      <c r="K31" s="1" t="s">
        <v>10</v>
      </c>
      <c r="L31" s="1" t="s">
        <v>11</v>
      </c>
      <c r="M31" s="1" t="s">
        <v>641</v>
      </c>
      <c r="N31">
        <v>80</v>
      </c>
      <c r="O31">
        <v>4</v>
      </c>
      <c r="P31" t="s">
        <v>1083</v>
      </c>
      <c r="Q31" s="1" t="s">
        <v>1106</v>
      </c>
    </row>
    <row r="32" spans="1:17" x14ac:dyDescent="0.25">
      <c r="A32" s="1" t="s">
        <v>637</v>
      </c>
      <c r="B32" s="1" t="s">
        <v>147</v>
      </c>
      <c r="C32" s="1" t="s">
        <v>9</v>
      </c>
      <c r="D32" s="2">
        <v>45962</v>
      </c>
      <c r="E32" s="2">
        <v>45966</v>
      </c>
      <c r="F32" s="1" t="s">
        <v>1103</v>
      </c>
      <c r="G32" s="1" t="s">
        <v>148</v>
      </c>
      <c r="H32" s="1" t="s">
        <v>25</v>
      </c>
      <c r="I32">
        <v>60</v>
      </c>
      <c r="J32" s="1" t="s">
        <v>98</v>
      </c>
      <c r="K32" s="1" t="s">
        <v>10</v>
      </c>
      <c r="L32" s="1" t="s">
        <v>11</v>
      </c>
      <c r="M32" s="1" t="s">
        <v>638</v>
      </c>
      <c r="N32">
        <v>330</v>
      </c>
      <c r="O32">
        <v>4</v>
      </c>
      <c r="P32" t="s">
        <v>1088</v>
      </c>
      <c r="Q32" s="1" t="s">
        <v>1109</v>
      </c>
    </row>
    <row r="33" spans="1:17" x14ac:dyDescent="0.25">
      <c r="A33" s="1" t="s">
        <v>904</v>
      </c>
      <c r="B33" s="1" t="s">
        <v>372</v>
      </c>
      <c r="C33" s="1" t="s">
        <v>9</v>
      </c>
      <c r="D33" s="2">
        <v>45919</v>
      </c>
      <c r="E33" s="2">
        <v>45923</v>
      </c>
      <c r="F33" s="1" t="s">
        <v>1095</v>
      </c>
      <c r="G33" s="1" t="s">
        <v>373</v>
      </c>
      <c r="H33" s="1" t="s">
        <v>25</v>
      </c>
      <c r="I33">
        <v>22</v>
      </c>
      <c r="J33" s="1" t="s">
        <v>315</v>
      </c>
      <c r="K33" s="1" t="s">
        <v>10</v>
      </c>
      <c r="L33" s="1" t="s">
        <v>11</v>
      </c>
      <c r="M33" s="1" t="s">
        <v>658</v>
      </c>
      <c r="N33">
        <v>140</v>
      </c>
      <c r="O33">
        <v>4</v>
      </c>
      <c r="P33" t="s">
        <v>1083</v>
      </c>
      <c r="Q33" s="1" t="s">
        <v>1107</v>
      </c>
    </row>
    <row r="34" spans="1:17" x14ac:dyDescent="0.25">
      <c r="A34" s="1" t="s">
        <v>859</v>
      </c>
      <c r="B34" s="1" t="s">
        <v>324</v>
      </c>
      <c r="C34" s="1" t="s">
        <v>9</v>
      </c>
      <c r="D34" s="2">
        <v>45716</v>
      </c>
      <c r="E34" s="2">
        <v>45720</v>
      </c>
      <c r="F34" s="1" t="s">
        <v>1093</v>
      </c>
      <c r="G34" s="1" t="s">
        <v>325</v>
      </c>
      <c r="H34" s="1" t="s">
        <v>29</v>
      </c>
      <c r="I34">
        <v>24</v>
      </c>
      <c r="J34" s="1" t="s">
        <v>315</v>
      </c>
      <c r="K34" s="1" t="s">
        <v>10</v>
      </c>
      <c r="L34" s="1" t="s">
        <v>11</v>
      </c>
      <c r="M34" s="1" t="s">
        <v>540</v>
      </c>
      <c r="N34">
        <v>160</v>
      </c>
      <c r="O34">
        <v>4</v>
      </c>
      <c r="P34" t="s">
        <v>1083</v>
      </c>
      <c r="Q34" s="1" t="s">
        <v>1086</v>
      </c>
    </row>
    <row r="35" spans="1:17" x14ac:dyDescent="0.25">
      <c r="A35" s="1" t="s">
        <v>886</v>
      </c>
      <c r="B35" s="1" t="s">
        <v>354</v>
      </c>
      <c r="C35" s="1" t="s">
        <v>9</v>
      </c>
      <c r="D35" s="2">
        <v>45839</v>
      </c>
      <c r="E35" s="2">
        <v>45843</v>
      </c>
      <c r="F35" s="1" t="s">
        <v>1103</v>
      </c>
      <c r="G35" s="1" t="s">
        <v>355</v>
      </c>
      <c r="H35" s="1" t="s">
        <v>25</v>
      </c>
      <c r="I35">
        <v>48</v>
      </c>
      <c r="J35" s="1" t="s">
        <v>315</v>
      </c>
      <c r="K35" s="1" t="s">
        <v>10</v>
      </c>
      <c r="L35" s="1" t="s">
        <v>11</v>
      </c>
      <c r="M35" s="1" t="s">
        <v>516</v>
      </c>
      <c r="N35">
        <v>340</v>
      </c>
      <c r="O35">
        <v>4</v>
      </c>
      <c r="P35" t="s">
        <v>1092</v>
      </c>
      <c r="Q35" s="1" t="s">
        <v>1105</v>
      </c>
    </row>
    <row r="36" spans="1:17" x14ac:dyDescent="0.25">
      <c r="A36" s="1" t="s">
        <v>850</v>
      </c>
      <c r="B36" s="1" t="s">
        <v>316</v>
      </c>
      <c r="C36" s="1" t="s">
        <v>9</v>
      </c>
      <c r="D36" s="2">
        <v>45672</v>
      </c>
      <c r="E36" s="2">
        <v>45676</v>
      </c>
      <c r="F36" s="1" t="s">
        <v>1087</v>
      </c>
      <c r="G36" s="1" t="s">
        <v>317</v>
      </c>
      <c r="H36" s="1" t="s">
        <v>25</v>
      </c>
      <c r="I36">
        <v>41</v>
      </c>
      <c r="J36" s="1" t="s">
        <v>315</v>
      </c>
      <c r="K36" s="1" t="s">
        <v>10</v>
      </c>
      <c r="L36" s="1" t="s">
        <v>11</v>
      </c>
      <c r="M36" s="1" t="s">
        <v>486</v>
      </c>
      <c r="N36">
        <v>200</v>
      </c>
      <c r="O36">
        <v>4</v>
      </c>
      <c r="P36" t="s">
        <v>1092</v>
      </c>
      <c r="Q36" s="1" t="s">
        <v>1084</v>
      </c>
    </row>
    <row r="37" spans="1:17" x14ac:dyDescent="0.25">
      <c r="A37" s="1" t="s">
        <v>1115</v>
      </c>
      <c r="B37" s="1" t="s">
        <v>411</v>
      </c>
      <c r="C37" s="1" t="s">
        <v>9</v>
      </c>
      <c r="D37" s="2">
        <v>45911</v>
      </c>
      <c r="E37" s="2">
        <v>45915</v>
      </c>
      <c r="F37" s="1" t="s">
        <v>1095</v>
      </c>
      <c r="G37" s="1" t="s">
        <v>228</v>
      </c>
      <c r="H37" s="1" t="s">
        <v>29</v>
      </c>
      <c r="I37">
        <v>65</v>
      </c>
      <c r="J37" s="1" t="s">
        <v>376</v>
      </c>
      <c r="K37" s="1" t="s">
        <v>10</v>
      </c>
      <c r="L37" s="1" t="s">
        <v>11</v>
      </c>
      <c r="M37" s="1"/>
      <c r="O37">
        <v>4</v>
      </c>
      <c r="P37" t="s">
        <v>1088</v>
      </c>
      <c r="Q37" s="1" t="s">
        <v>1107</v>
      </c>
    </row>
    <row r="38" spans="1:17" x14ac:dyDescent="0.25">
      <c r="A38" s="1" t="s">
        <v>584</v>
      </c>
      <c r="B38" s="1" t="s">
        <v>96</v>
      </c>
      <c r="C38" s="1" t="s">
        <v>9</v>
      </c>
      <c r="D38" s="2">
        <v>45675</v>
      </c>
      <c r="E38" s="2">
        <v>45679</v>
      </c>
      <c r="F38" s="1" t="s">
        <v>1082</v>
      </c>
      <c r="G38" s="1" t="s">
        <v>97</v>
      </c>
      <c r="H38" s="1" t="s">
        <v>29</v>
      </c>
      <c r="I38">
        <v>29</v>
      </c>
      <c r="J38" s="1" t="s">
        <v>98</v>
      </c>
      <c r="K38" s="1" t="s">
        <v>10</v>
      </c>
      <c r="L38" s="1" t="s">
        <v>11</v>
      </c>
      <c r="M38" s="1" t="s">
        <v>480</v>
      </c>
      <c r="N38">
        <v>120</v>
      </c>
      <c r="O38">
        <v>4</v>
      </c>
      <c r="P38" t="s">
        <v>1083</v>
      </c>
      <c r="Q38" s="1" t="s">
        <v>1084</v>
      </c>
    </row>
    <row r="39" spans="1:17" x14ac:dyDescent="0.25">
      <c r="A39" s="1" t="s">
        <v>936</v>
      </c>
      <c r="B39" s="1" t="s">
        <v>395</v>
      </c>
      <c r="C39" s="1" t="s">
        <v>9</v>
      </c>
      <c r="D39" s="2">
        <v>45791</v>
      </c>
      <c r="E39" s="2">
        <v>45795</v>
      </c>
      <c r="F39" s="1" t="s">
        <v>1082</v>
      </c>
      <c r="G39" s="1" t="s">
        <v>396</v>
      </c>
      <c r="H39" s="1" t="s">
        <v>25</v>
      </c>
      <c r="I39">
        <v>27</v>
      </c>
      <c r="J39" s="1" t="s">
        <v>376</v>
      </c>
      <c r="K39" s="1" t="s">
        <v>10</v>
      </c>
      <c r="L39" s="1" t="s">
        <v>11</v>
      </c>
      <c r="M39" s="1" t="s">
        <v>567</v>
      </c>
      <c r="N39">
        <v>115</v>
      </c>
      <c r="O39">
        <v>4</v>
      </c>
      <c r="P39" t="s">
        <v>1083</v>
      </c>
      <c r="Q39" s="1" t="s">
        <v>1097</v>
      </c>
    </row>
    <row r="40" spans="1:17" x14ac:dyDescent="0.25">
      <c r="A40" s="1" t="s">
        <v>956</v>
      </c>
      <c r="B40" s="1" t="s">
        <v>406</v>
      </c>
      <c r="C40" s="1" t="s">
        <v>9</v>
      </c>
      <c r="D40" s="2">
        <v>45871</v>
      </c>
      <c r="E40" s="2">
        <v>45875</v>
      </c>
      <c r="F40" s="1" t="s">
        <v>1103</v>
      </c>
      <c r="G40" s="1" t="s">
        <v>218</v>
      </c>
      <c r="H40" s="1" t="s">
        <v>25</v>
      </c>
      <c r="I40">
        <v>58</v>
      </c>
      <c r="J40" s="1" t="s">
        <v>376</v>
      </c>
      <c r="K40" s="1" t="s">
        <v>10</v>
      </c>
      <c r="L40" s="1" t="s">
        <v>11</v>
      </c>
      <c r="M40" s="1" t="s">
        <v>957</v>
      </c>
      <c r="N40">
        <v>330</v>
      </c>
      <c r="O40">
        <v>4</v>
      </c>
      <c r="P40" t="s">
        <v>1088</v>
      </c>
      <c r="Q40" s="1" t="s">
        <v>1106</v>
      </c>
    </row>
    <row r="41" spans="1:17" x14ac:dyDescent="0.25">
      <c r="A41" s="1" t="s">
        <v>916</v>
      </c>
      <c r="B41" s="1" t="s">
        <v>382</v>
      </c>
      <c r="C41" s="1" t="s">
        <v>9</v>
      </c>
      <c r="D41" s="2">
        <v>45706</v>
      </c>
      <c r="E41" s="2">
        <v>45710</v>
      </c>
      <c r="F41" s="1" t="s">
        <v>1103</v>
      </c>
      <c r="G41" s="1" t="s">
        <v>383</v>
      </c>
      <c r="H41" s="1" t="s">
        <v>25</v>
      </c>
      <c r="I41">
        <v>60</v>
      </c>
      <c r="J41" s="1" t="s">
        <v>376</v>
      </c>
      <c r="K41" s="1" t="s">
        <v>10</v>
      </c>
      <c r="L41" s="1" t="s">
        <v>11</v>
      </c>
      <c r="M41" s="1" t="s">
        <v>555</v>
      </c>
      <c r="N41">
        <v>340</v>
      </c>
      <c r="O41">
        <v>4</v>
      </c>
      <c r="P41" t="s">
        <v>1088</v>
      </c>
      <c r="Q41" s="1" t="s">
        <v>1086</v>
      </c>
    </row>
    <row r="42" spans="1:17" x14ac:dyDescent="0.25">
      <c r="A42" s="1" t="s">
        <v>906</v>
      </c>
      <c r="B42" s="1" t="s">
        <v>374</v>
      </c>
      <c r="C42" s="1" t="s">
        <v>9</v>
      </c>
      <c r="D42" s="2">
        <v>45665</v>
      </c>
      <c r="E42" s="2">
        <v>45669</v>
      </c>
      <c r="F42" s="1" t="s">
        <v>1082</v>
      </c>
      <c r="G42" s="1" t="s">
        <v>375</v>
      </c>
      <c r="H42" s="1" t="s">
        <v>29</v>
      </c>
      <c r="I42">
        <v>28</v>
      </c>
      <c r="J42" s="1" t="s">
        <v>376</v>
      </c>
      <c r="K42" s="1" t="s">
        <v>10</v>
      </c>
      <c r="L42" s="1" t="s">
        <v>11</v>
      </c>
      <c r="M42" s="1" t="s">
        <v>480</v>
      </c>
      <c r="N42">
        <v>120</v>
      </c>
      <c r="O42">
        <v>4</v>
      </c>
      <c r="P42" t="s">
        <v>1083</v>
      </c>
      <c r="Q42" s="1" t="s">
        <v>1084</v>
      </c>
    </row>
    <row r="43" spans="1:17" x14ac:dyDescent="0.25">
      <c r="A43" s="1" t="s">
        <v>926</v>
      </c>
      <c r="B43" s="1" t="s">
        <v>389</v>
      </c>
      <c r="C43" s="1" t="s">
        <v>9</v>
      </c>
      <c r="D43" s="2">
        <v>45749</v>
      </c>
      <c r="E43" s="2">
        <v>45753</v>
      </c>
      <c r="F43" s="1" t="s">
        <v>1085</v>
      </c>
      <c r="G43" s="1" t="s">
        <v>41</v>
      </c>
      <c r="H43" s="1" t="s">
        <v>29</v>
      </c>
      <c r="I43">
        <v>28</v>
      </c>
      <c r="J43" s="1" t="s">
        <v>376</v>
      </c>
      <c r="K43" s="1" t="s">
        <v>10</v>
      </c>
      <c r="L43" s="1" t="s">
        <v>11</v>
      </c>
      <c r="M43" s="1" t="s">
        <v>513</v>
      </c>
      <c r="N43">
        <v>80</v>
      </c>
      <c r="O43">
        <v>4</v>
      </c>
      <c r="P43" t="s">
        <v>1083</v>
      </c>
      <c r="Q43" s="1" t="s">
        <v>1094</v>
      </c>
    </row>
    <row r="44" spans="1:17" x14ac:dyDescent="0.25">
      <c r="A44" s="1" t="s">
        <v>946</v>
      </c>
      <c r="B44" s="1" t="s">
        <v>401</v>
      </c>
      <c r="C44" s="1" t="s">
        <v>9</v>
      </c>
      <c r="D44" s="2">
        <v>45831</v>
      </c>
      <c r="E44" s="2">
        <v>45835</v>
      </c>
      <c r="F44" s="1" t="s">
        <v>1087</v>
      </c>
      <c r="G44" s="1" t="s">
        <v>208</v>
      </c>
      <c r="H44" s="1" t="s">
        <v>29</v>
      </c>
      <c r="I44">
        <v>19</v>
      </c>
      <c r="J44" s="1" t="s">
        <v>376</v>
      </c>
      <c r="K44" s="1" t="s">
        <v>10</v>
      </c>
      <c r="L44" s="1" t="s">
        <v>11</v>
      </c>
      <c r="M44" s="1" t="s">
        <v>625</v>
      </c>
      <c r="N44">
        <v>190</v>
      </c>
      <c r="O44">
        <v>4</v>
      </c>
      <c r="P44" t="s">
        <v>1083</v>
      </c>
      <c r="Q44" s="1" t="s">
        <v>1102</v>
      </c>
    </row>
    <row r="45" spans="1:17" x14ac:dyDescent="0.25">
      <c r="A45" s="1" t="s">
        <v>974</v>
      </c>
      <c r="B45" s="1" t="s">
        <v>418</v>
      </c>
      <c r="C45" s="1" t="s">
        <v>9</v>
      </c>
      <c r="D45" s="2">
        <v>45675</v>
      </c>
      <c r="E45" s="2">
        <v>45679</v>
      </c>
      <c r="F45" s="1" t="s">
        <v>1087</v>
      </c>
      <c r="G45" s="1" t="s">
        <v>375</v>
      </c>
      <c r="H45" s="1" t="s">
        <v>29</v>
      </c>
      <c r="I45">
        <v>28</v>
      </c>
      <c r="J45" s="1" t="s">
        <v>417</v>
      </c>
      <c r="K45" s="1" t="s">
        <v>10</v>
      </c>
      <c r="L45" s="1" t="s">
        <v>11</v>
      </c>
      <c r="M45" s="1" t="s">
        <v>486</v>
      </c>
      <c r="N45">
        <v>200</v>
      </c>
      <c r="O45">
        <v>4</v>
      </c>
      <c r="P45" t="s">
        <v>1083</v>
      </c>
      <c r="Q45" s="1" t="s">
        <v>1084</v>
      </c>
    </row>
    <row r="46" spans="1:17" x14ac:dyDescent="0.25">
      <c r="A46" s="1" t="s">
        <v>993</v>
      </c>
      <c r="B46" s="1" t="s">
        <v>432</v>
      </c>
      <c r="C46" s="1" t="s">
        <v>9</v>
      </c>
      <c r="D46" s="2">
        <v>45766</v>
      </c>
      <c r="E46" s="2">
        <v>45770</v>
      </c>
      <c r="F46" s="1" t="s">
        <v>1087</v>
      </c>
      <c r="G46" s="1" t="s">
        <v>49</v>
      </c>
      <c r="H46" s="1" t="s">
        <v>29</v>
      </c>
      <c r="I46">
        <v>29</v>
      </c>
      <c r="J46" s="1" t="s">
        <v>417</v>
      </c>
      <c r="K46" s="1" t="s">
        <v>10</v>
      </c>
      <c r="L46" s="1" t="s">
        <v>11</v>
      </c>
      <c r="M46" s="1" t="s">
        <v>561</v>
      </c>
      <c r="N46">
        <v>180</v>
      </c>
      <c r="O46">
        <v>4</v>
      </c>
      <c r="P46" t="s">
        <v>1083</v>
      </c>
      <c r="Q46" s="1" t="s">
        <v>1094</v>
      </c>
    </row>
    <row r="47" spans="1:17" x14ac:dyDescent="0.25">
      <c r="A47" s="1" t="s">
        <v>1001</v>
      </c>
      <c r="B47" s="1" t="s">
        <v>437</v>
      </c>
      <c r="C47" s="1" t="s">
        <v>9</v>
      </c>
      <c r="D47" s="2">
        <v>45811</v>
      </c>
      <c r="E47" s="2">
        <v>45815</v>
      </c>
      <c r="F47" s="1" t="s">
        <v>1095</v>
      </c>
      <c r="G47" s="1" t="s">
        <v>59</v>
      </c>
      <c r="H47" s="1" t="s">
        <v>25</v>
      </c>
      <c r="I47">
        <v>27</v>
      </c>
      <c r="J47" s="1" t="s">
        <v>417</v>
      </c>
      <c r="K47" s="1" t="s">
        <v>10</v>
      </c>
      <c r="L47" s="1" t="s">
        <v>11</v>
      </c>
      <c r="M47" s="1" t="s">
        <v>576</v>
      </c>
      <c r="N47">
        <v>140</v>
      </c>
      <c r="O47">
        <v>4</v>
      </c>
      <c r="P47" t="s">
        <v>1083</v>
      </c>
      <c r="Q47" s="1" t="s">
        <v>1102</v>
      </c>
    </row>
    <row r="48" spans="1:17" x14ac:dyDescent="0.25">
      <c r="A48" s="1" t="s">
        <v>1021</v>
      </c>
      <c r="B48" s="1" t="s">
        <v>447</v>
      </c>
      <c r="C48" s="1" t="s">
        <v>9</v>
      </c>
      <c r="D48" s="2">
        <v>45901</v>
      </c>
      <c r="E48" s="2">
        <v>45905</v>
      </c>
      <c r="F48" s="1" t="s">
        <v>1085</v>
      </c>
      <c r="G48" s="1" t="s">
        <v>79</v>
      </c>
      <c r="H48" s="1" t="s">
        <v>25</v>
      </c>
      <c r="I48">
        <v>43</v>
      </c>
      <c r="J48" s="1" t="s">
        <v>417</v>
      </c>
      <c r="K48" s="1" t="s">
        <v>10</v>
      </c>
      <c r="L48" s="1" t="s">
        <v>11</v>
      </c>
      <c r="M48" s="1" t="s">
        <v>641</v>
      </c>
      <c r="N48">
        <v>80</v>
      </c>
      <c r="O48">
        <v>4</v>
      </c>
      <c r="P48" t="s">
        <v>1092</v>
      </c>
      <c r="Q48" s="1" t="s">
        <v>1107</v>
      </c>
    </row>
    <row r="49" spans="1:17" x14ac:dyDescent="0.25">
      <c r="A49" s="1" t="s">
        <v>1011</v>
      </c>
      <c r="B49" s="1" t="s">
        <v>442</v>
      </c>
      <c r="C49" s="1" t="s">
        <v>9</v>
      </c>
      <c r="D49" s="2">
        <v>45856</v>
      </c>
      <c r="E49" s="2">
        <v>45860</v>
      </c>
      <c r="F49" s="1" t="s">
        <v>1103</v>
      </c>
      <c r="G49" s="1" t="s">
        <v>69</v>
      </c>
      <c r="H49" s="1" t="s">
        <v>29</v>
      </c>
      <c r="I49">
        <v>40</v>
      </c>
      <c r="J49" s="1" t="s">
        <v>417</v>
      </c>
      <c r="K49" s="1" t="s">
        <v>10</v>
      </c>
      <c r="L49" s="1" t="s">
        <v>11</v>
      </c>
      <c r="M49" s="1" t="s">
        <v>516</v>
      </c>
      <c r="N49">
        <v>340</v>
      </c>
      <c r="O49">
        <v>4</v>
      </c>
      <c r="P49" t="s">
        <v>1092</v>
      </c>
      <c r="Q49" s="1" t="s">
        <v>1105</v>
      </c>
    </row>
    <row r="50" spans="1:17" x14ac:dyDescent="0.25">
      <c r="A50" s="1" t="s">
        <v>984</v>
      </c>
      <c r="B50" s="1" t="s">
        <v>427</v>
      </c>
      <c r="C50" s="1" t="s">
        <v>9</v>
      </c>
      <c r="D50" s="2">
        <v>45721</v>
      </c>
      <c r="E50" s="2">
        <v>45725</v>
      </c>
      <c r="F50" s="1" t="s">
        <v>1093</v>
      </c>
      <c r="G50" s="1" t="s">
        <v>282</v>
      </c>
      <c r="H50" s="1" t="s">
        <v>25</v>
      </c>
      <c r="I50">
        <v>60</v>
      </c>
      <c r="J50" s="1" t="s">
        <v>417</v>
      </c>
      <c r="K50" s="1" t="s">
        <v>10</v>
      </c>
      <c r="L50" s="1" t="s">
        <v>11</v>
      </c>
      <c r="M50" s="1" t="s">
        <v>540</v>
      </c>
      <c r="N50">
        <v>160</v>
      </c>
      <c r="O50">
        <v>4</v>
      </c>
      <c r="P50" t="s">
        <v>1088</v>
      </c>
      <c r="Q50" s="1" t="s">
        <v>1090</v>
      </c>
    </row>
    <row r="51" spans="1:17" x14ac:dyDescent="0.25">
      <c r="A51" s="1" t="s">
        <v>604</v>
      </c>
      <c r="B51" s="1" t="s">
        <v>117</v>
      </c>
      <c r="C51" s="1" t="s">
        <v>9</v>
      </c>
      <c r="D51" s="2">
        <v>45794</v>
      </c>
      <c r="E51" s="2">
        <v>45798</v>
      </c>
      <c r="F51" s="1" t="s">
        <v>1087</v>
      </c>
      <c r="G51" s="1" t="s">
        <v>118</v>
      </c>
      <c r="H51" s="1" t="s">
        <v>29</v>
      </c>
      <c r="I51">
        <v>31</v>
      </c>
      <c r="J51" s="1" t="s">
        <v>98</v>
      </c>
      <c r="K51" s="1" t="s">
        <v>10</v>
      </c>
      <c r="L51" s="1" t="s">
        <v>11</v>
      </c>
      <c r="M51" s="1" t="s">
        <v>561</v>
      </c>
      <c r="N51">
        <v>180</v>
      </c>
      <c r="O51">
        <v>4</v>
      </c>
      <c r="P51" t="s">
        <v>1083</v>
      </c>
      <c r="Q51" s="1" t="s">
        <v>1097</v>
      </c>
    </row>
    <row r="52" spans="1:17" x14ac:dyDescent="0.25">
      <c r="A52" s="1" t="s">
        <v>1023</v>
      </c>
      <c r="B52" s="1" t="s">
        <v>450</v>
      </c>
      <c r="C52" s="1" t="s">
        <v>9</v>
      </c>
      <c r="D52" s="2">
        <v>45671</v>
      </c>
      <c r="E52" s="2">
        <v>45675</v>
      </c>
      <c r="F52" s="1" t="s">
        <v>1087</v>
      </c>
      <c r="G52" s="1" t="s">
        <v>375</v>
      </c>
      <c r="H52" s="1" t="s">
        <v>29</v>
      </c>
      <c r="I52">
        <v>28</v>
      </c>
      <c r="J52" s="1" t="s">
        <v>449</v>
      </c>
      <c r="K52" s="1" t="s">
        <v>10</v>
      </c>
      <c r="L52" s="1" t="s">
        <v>11</v>
      </c>
      <c r="M52" s="1" t="s">
        <v>486</v>
      </c>
      <c r="N52">
        <v>200</v>
      </c>
      <c r="O52">
        <v>4</v>
      </c>
      <c r="P52" t="s">
        <v>1083</v>
      </c>
      <c r="Q52" s="1" t="s">
        <v>1084</v>
      </c>
    </row>
    <row r="53" spans="1:17" x14ac:dyDescent="0.25">
      <c r="A53" s="1" t="s">
        <v>1043</v>
      </c>
      <c r="B53" s="1" t="s">
        <v>461</v>
      </c>
      <c r="C53" s="1" t="s">
        <v>9</v>
      </c>
      <c r="D53" s="2">
        <v>45751</v>
      </c>
      <c r="E53" s="2">
        <v>45755</v>
      </c>
      <c r="F53" s="1" t="s">
        <v>1087</v>
      </c>
      <c r="G53" s="1" t="s">
        <v>49</v>
      </c>
      <c r="H53" s="1" t="s">
        <v>29</v>
      </c>
      <c r="I53">
        <v>29</v>
      </c>
      <c r="J53" s="1" t="s">
        <v>449</v>
      </c>
      <c r="K53" s="1" t="s">
        <v>10</v>
      </c>
      <c r="L53" s="1" t="s">
        <v>11</v>
      </c>
      <c r="M53" s="1" t="s">
        <v>561</v>
      </c>
      <c r="N53">
        <v>180</v>
      </c>
      <c r="O53">
        <v>4</v>
      </c>
      <c r="P53" t="s">
        <v>1083</v>
      </c>
      <c r="Q53" s="1" t="s">
        <v>1094</v>
      </c>
    </row>
    <row r="54" spans="1:17" x14ac:dyDescent="0.25">
      <c r="A54" s="1" t="s">
        <v>1053</v>
      </c>
      <c r="B54" s="1" t="s">
        <v>466</v>
      </c>
      <c r="C54" s="1" t="s">
        <v>9</v>
      </c>
      <c r="D54" s="2">
        <v>45791</v>
      </c>
      <c r="E54" s="2">
        <v>45795</v>
      </c>
      <c r="F54" s="1" t="s">
        <v>1095</v>
      </c>
      <c r="G54" s="1" t="s">
        <v>59</v>
      </c>
      <c r="H54" s="1" t="s">
        <v>25</v>
      </c>
      <c r="I54">
        <v>27</v>
      </c>
      <c r="J54" s="1" t="s">
        <v>449</v>
      </c>
      <c r="K54" s="1" t="s">
        <v>10</v>
      </c>
      <c r="L54" s="1" t="s">
        <v>11</v>
      </c>
      <c r="M54" s="1" t="s">
        <v>576</v>
      </c>
      <c r="N54">
        <v>140</v>
      </c>
      <c r="O54">
        <v>4</v>
      </c>
      <c r="P54" t="s">
        <v>1083</v>
      </c>
      <c r="Q54" s="1" t="s">
        <v>1097</v>
      </c>
    </row>
    <row r="55" spans="1:17" x14ac:dyDescent="0.25">
      <c r="A55" s="1" t="s">
        <v>1061</v>
      </c>
      <c r="B55" s="1" t="s">
        <v>471</v>
      </c>
      <c r="C55" s="1" t="s">
        <v>9</v>
      </c>
      <c r="D55" s="2">
        <v>45831</v>
      </c>
      <c r="E55" s="2">
        <v>45835</v>
      </c>
      <c r="F55" s="1" t="s">
        <v>1103</v>
      </c>
      <c r="G55" s="1" t="s">
        <v>69</v>
      </c>
      <c r="H55" s="1" t="s">
        <v>29</v>
      </c>
      <c r="I55">
        <v>40</v>
      </c>
      <c r="J55" s="1" t="s">
        <v>449</v>
      </c>
      <c r="K55" s="1" t="s">
        <v>10</v>
      </c>
      <c r="L55" s="1" t="s">
        <v>11</v>
      </c>
      <c r="M55" s="1" t="s">
        <v>516</v>
      </c>
      <c r="N55">
        <v>340</v>
      </c>
      <c r="O55">
        <v>4</v>
      </c>
      <c r="P55" t="s">
        <v>1092</v>
      </c>
      <c r="Q55" s="1" t="s">
        <v>1102</v>
      </c>
    </row>
    <row r="56" spans="1:17" x14ac:dyDescent="0.25">
      <c r="A56" s="1" t="s">
        <v>1033</v>
      </c>
      <c r="B56" s="1" t="s">
        <v>456</v>
      </c>
      <c r="C56" s="1" t="s">
        <v>9</v>
      </c>
      <c r="D56" s="2">
        <v>45711</v>
      </c>
      <c r="E56" s="2">
        <v>45715</v>
      </c>
      <c r="F56" s="1" t="s">
        <v>1093</v>
      </c>
      <c r="G56" s="1" t="s">
        <v>282</v>
      </c>
      <c r="H56" s="1" t="s">
        <v>25</v>
      </c>
      <c r="I56">
        <v>60</v>
      </c>
      <c r="J56" s="1" t="s">
        <v>449</v>
      </c>
      <c r="K56" s="1" t="s">
        <v>10</v>
      </c>
      <c r="L56" s="1" t="s">
        <v>11</v>
      </c>
      <c r="M56" s="1" t="s">
        <v>540</v>
      </c>
      <c r="N56">
        <v>160</v>
      </c>
      <c r="O56">
        <v>4</v>
      </c>
      <c r="P56" t="s">
        <v>1088</v>
      </c>
      <c r="Q56" s="1" t="s">
        <v>1086</v>
      </c>
    </row>
    <row r="57" spans="1:17" x14ac:dyDescent="0.25">
      <c r="A57" s="1" t="s">
        <v>624</v>
      </c>
      <c r="B57" s="1" t="s">
        <v>137</v>
      </c>
      <c r="C57" s="1" t="s">
        <v>9</v>
      </c>
      <c r="D57" s="2">
        <v>45905</v>
      </c>
      <c r="E57" s="2">
        <v>45909</v>
      </c>
      <c r="F57" s="1" t="s">
        <v>1087</v>
      </c>
      <c r="G57" s="1" t="s">
        <v>138</v>
      </c>
      <c r="H57" s="1" t="s">
        <v>29</v>
      </c>
      <c r="I57">
        <v>26</v>
      </c>
      <c r="J57" s="1" t="s">
        <v>98</v>
      </c>
      <c r="K57" s="1" t="s">
        <v>10</v>
      </c>
      <c r="L57" s="1" t="s">
        <v>11</v>
      </c>
      <c r="M57" s="1" t="s">
        <v>625</v>
      </c>
      <c r="N57">
        <v>190</v>
      </c>
      <c r="O57">
        <v>4</v>
      </c>
      <c r="P57" t="s">
        <v>1083</v>
      </c>
      <c r="Q57" s="1" t="s">
        <v>1107</v>
      </c>
    </row>
    <row r="58" spans="1:17" x14ac:dyDescent="0.25">
      <c r="A58" s="1" t="s">
        <v>594</v>
      </c>
      <c r="B58" s="1" t="s">
        <v>107</v>
      </c>
      <c r="C58" s="1" t="s">
        <v>9</v>
      </c>
      <c r="D58" s="2">
        <v>45741</v>
      </c>
      <c r="E58" s="2">
        <v>45745</v>
      </c>
      <c r="F58" s="1" t="s">
        <v>1103</v>
      </c>
      <c r="G58" s="1" t="s">
        <v>108</v>
      </c>
      <c r="H58" s="1" t="s">
        <v>25</v>
      </c>
      <c r="I58">
        <v>62</v>
      </c>
      <c r="J58" s="1" t="s">
        <v>98</v>
      </c>
      <c r="K58" s="1" t="s">
        <v>10</v>
      </c>
      <c r="L58" s="1" t="s">
        <v>11</v>
      </c>
      <c r="M58" s="1" t="s">
        <v>555</v>
      </c>
      <c r="N58">
        <v>340</v>
      </c>
      <c r="O58">
        <v>4</v>
      </c>
      <c r="P58" t="s">
        <v>1088</v>
      </c>
      <c r="Q58" s="1" t="s">
        <v>1090</v>
      </c>
    </row>
    <row r="59" spans="1:17" x14ac:dyDescent="0.25">
      <c r="A59" s="1" t="s">
        <v>614</v>
      </c>
      <c r="B59" s="1" t="s">
        <v>127</v>
      </c>
      <c r="C59" s="1" t="s">
        <v>9</v>
      </c>
      <c r="D59" s="2">
        <v>45852</v>
      </c>
      <c r="E59" s="2">
        <v>45856</v>
      </c>
      <c r="F59" s="1" t="s">
        <v>1103</v>
      </c>
      <c r="G59" s="1" t="s">
        <v>128</v>
      </c>
      <c r="H59" s="1" t="s">
        <v>25</v>
      </c>
      <c r="I59">
        <v>64</v>
      </c>
      <c r="J59" s="1" t="s">
        <v>98</v>
      </c>
      <c r="K59" s="1" t="s">
        <v>10</v>
      </c>
      <c r="L59" s="1" t="s">
        <v>11</v>
      </c>
      <c r="M59" s="1" t="s">
        <v>516</v>
      </c>
      <c r="N59">
        <v>340</v>
      </c>
      <c r="O59">
        <v>4</v>
      </c>
      <c r="P59" t="s">
        <v>1088</v>
      </c>
      <c r="Q59" s="1" t="s">
        <v>1105</v>
      </c>
    </row>
    <row r="60" spans="1:17" x14ac:dyDescent="0.25">
      <c r="A60" s="1" t="s">
        <v>491</v>
      </c>
      <c r="B60" s="1" t="s">
        <v>34</v>
      </c>
      <c r="C60" s="1" t="s">
        <v>15</v>
      </c>
      <c r="D60" s="2">
        <v>45731</v>
      </c>
      <c r="E60" s="2">
        <v>45736</v>
      </c>
      <c r="F60" s="1" t="s">
        <v>1091</v>
      </c>
      <c r="G60" s="1" t="s">
        <v>35</v>
      </c>
      <c r="H60" s="1" t="s">
        <v>25</v>
      </c>
      <c r="I60">
        <v>41</v>
      </c>
      <c r="J60" s="1" t="s">
        <v>26</v>
      </c>
      <c r="K60" s="1" t="s">
        <v>16</v>
      </c>
      <c r="L60" s="1" t="s">
        <v>17</v>
      </c>
      <c r="M60" s="1" t="s">
        <v>492</v>
      </c>
      <c r="N60">
        <v>1300</v>
      </c>
      <c r="O60">
        <v>5</v>
      </c>
      <c r="P60" t="s">
        <v>1092</v>
      </c>
      <c r="Q60" s="1" t="s">
        <v>1090</v>
      </c>
    </row>
    <row r="61" spans="1:17" x14ac:dyDescent="0.25">
      <c r="A61" s="1" t="s">
        <v>506</v>
      </c>
      <c r="B61" s="1" t="s">
        <v>44</v>
      </c>
      <c r="C61" s="1" t="s">
        <v>15</v>
      </c>
      <c r="D61" s="2">
        <v>45797</v>
      </c>
      <c r="E61" s="2">
        <v>45802</v>
      </c>
      <c r="F61" s="1" t="s">
        <v>1100</v>
      </c>
      <c r="G61" s="1" t="s">
        <v>45</v>
      </c>
      <c r="H61" s="1" t="s">
        <v>29</v>
      </c>
      <c r="I61">
        <v>44</v>
      </c>
      <c r="J61" s="1" t="s">
        <v>26</v>
      </c>
      <c r="K61" s="1" t="s">
        <v>16</v>
      </c>
      <c r="L61" s="1" t="s">
        <v>17</v>
      </c>
      <c r="M61" s="1" t="s">
        <v>507</v>
      </c>
      <c r="N61">
        <v>95</v>
      </c>
      <c r="O61">
        <v>5</v>
      </c>
      <c r="P61" t="s">
        <v>1092</v>
      </c>
      <c r="Q61" s="1" t="s">
        <v>1097</v>
      </c>
    </row>
    <row r="62" spans="1:17" x14ac:dyDescent="0.25">
      <c r="A62" s="1" t="s">
        <v>521</v>
      </c>
      <c r="B62" s="1" t="s">
        <v>54</v>
      </c>
      <c r="C62" s="1" t="s">
        <v>15</v>
      </c>
      <c r="D62" s="2">
        <v>45848</v>
      </c>
      <c r="E62" s="2">
        <v>45853</v>
      </c>
      <c r="F62" s="1" t="s">
        <v>1087</v>
      </c>
      <c r="G62" s="1" t="s">
        <v>55</v>
      </c>
      <c r="H62" s="1" t="s">
        <v>25</v>
      </c>
      <c r="I62">
        <v>61</v>
      </c>
      <c r="J62" s="1" t="s">
        <v>26</v>
      </c>
      <c r="K62" s="1" t="s">
        <v>16</v>
      </c>
      <c r="L62" s="1" t="s">
        <v>17</v>
      </c>
      <c r="M62" s="1" t="s">
        <v>522</v>
      </c>
      <c r="N62">
        <v>220</v>
      </c>
      <c r="O62">
        <v>5</v>
      </c>
      <c r="P62" t="s">
        <v>1088</v>
      </c>
      <c r="Q62" s="1" t="s">
        <v>1105</v>
      </c>
    </row>
    <row r="63" spans="1:17" x14ac:dyDescent="0.25">
      <c r="A63" s="1" t="s">
        <v>536</v>
      </c>
      <c r="B63" s="1" t="s">
        <v>64</v>
      </c>
      <c r="C63" s="1" t="s">
        <v>15</v>
      </c>
      <c r="D63" s="2">
        <v>45901</v>
      </c>
      <c r="E63" s="2">
        <v>45904</v>
      </c>
      <c r="F63" s="1" t="s">
        <v>1096</v>
      </c>
      <c r="G63" s="1" t="s">
        <v>65</v>
      </c>
      <c r="H63" s="1" t="s">
        <v>29</v>
      </c>
      <c r="I63">
        <v>22</v>
      </c>
      <c r="J63" s="1" t="s">
        <v>26</v>
      </c>
      <c r="K63" s="1" t="s">
        <v>16</v>
      </c>
      <c r="L63" s="1" t="s">
        <v>17</v>
      </c>
      <c r="M63" s="1" t="s">
        <v>537</v>
      </c>
      <c r="N63">
        <v>1250</v>
      </c>
      <c r="O63">
        <v>3</v>
      </c>
      <c r="P63" t="s">
        <v>1083</v>
      </c>
      <c r="Q63" s="1" t="s">
        <v>1107</v>
      </c>
    </row>
    <row r="64" spans="1:17" x14ac:dyDescent="0.25">
      <c r="A64" s="1" t="s">
        <v>551</v>
      </c>
      <c r="B64" s="1" t="s">
        <v>74</v>
      </c>
      <c r="C64" s="1" t="s">
        <v>15</v>
      </c>
      <c r="D64" s="2">
        <v>45945</v>
      </c>
      <c r="E64" s="2">
        <v>45948</v>
      </c>
      <c r="F64" s="1" t="s">
        <v>1085</v>
      </c>
      <c r="G64" s="1" t="s">
        <v>75</v>
      </c>
      <c r="H64" s="1" t="s">
        <v>25</v>
      </c>
      <c r="I64">
        <v>9</v>
      </c>
      <c r="J64" s="1" t="s">
        <v>26</v>
      </c>
      <c r="K64" s="1" t="s">
        <v>16</v>
      </c>
      <c r="L64" s="1" t="s">
        <v>17</v>
      </c>
      <c r="M64" s="1" t="s">
        <v>552</v>
      </c>
      <c r="N64">
        <v>80</v>
      </c>
      <c r="O64">
        <v>3</v>
      </c>
      <c r="P64" t="s">
        <v>1099</v>
      </c>
      <c r="Q64" s="1" t="s">
        <v>1108</v>
      </c>
    </row>
    <row r="65" spans="1:17" x14ac:dyDescent="0.25">
      <c r="A65" s="1" t="s">
        <v>566</v>
      </c>
      <c r="B65" s="1" t="s">
        <v>84</v>
      </c>
      <c r="C65" s="1" t="s">
        <v>15</v>
      </c>
      <c r="D65" s="2">
        <v>45986</v>
      </c>
      <c r="E65" s="2">
        <v>45990</v>
      </c>
      <c r="F65" s="1" t="s">
        <v>1082</v>
      </c>
      <c r="G65" s="1" t="s">
        <v>85</v>
      </c>
      <c r="H65" s="1" t="s">
        <v>29</v>
      </c>
      <c r="I65">
        <v>64</v>
      </c>
      <c r="J65" s="1" t="s">
        <v>26</v>
      </c>
      <c r="K65" s="1" t="s">
        <v>16</v>
      </c>
      <c r="L65" s="1" t="s">
        <v>17</v>
      </c>
      <c r="M65" s="1" t="s">
        <v>567</v>
      </c>
      <c r="N65">
        <v>115</v>
      </c>
      <c r="O65">
        <v>4</v>
      </c>
      <c r="P65" t="s">
        <v>1088</v>
      </c>
      <c r="Q65" s="1" t="s">
        <v>1109</v>
      </c>
    </row>
    <row r="66" spans="1:17" x14ac:dyDescent="0.25">
      <c r="A66" s="1" t="s">
        <v>581</v>
      </c>
      <c r="B66" s="1" t="s">
        <v>94</v>
      </c>
      <c r="C66" s="1" t="s">
        <v>15</v>
      </c>
      <c r="D66" s="2">
        <v>46011</v>
      </c>
      <c r="E66" s="2">
        <v>46015</v>
      </c>
      <c r="F66" s="1" t="s">
        <v>1087</v>
      </c>
      <c r="G66" s="1" t="s">
        <v>95</v>
      </c>
      <c r="H66" s="1" t="s">
        <v>25</v>
      </c>
      <c r="I66">
        <v>58</v>
      </c>
      <c r="J66" s="1" t="s">
        <v>26</v>
      </c>
      <c r="K66" s="1" t="s">
        <v>16</v>
      </c>
      <c r="L66" s="1" t="s">
        <v>17</v>
      </c>
      <c r="M66" s="1" t="s">
        <v>582</v>
      </c>
      <c r="N66">
        <v>190</v>
      </c>
      <c r="O66">
        <v>4</v>
      </c>
      <c r="P66" t="s">
        <v>1088</v>
      </c>
      <c r="Q66" s="1" t="s">
        <v>1110</v>
      </c>
    </row>
    <row r="67" spans="1:17" x14ac:dyDescent="0.25">
      <c r="A67" s="1" t="s">
        <v>789</v>
      </c>
      <c r="B67" s="1" t="s">
        <v>264</v>
      </c>
      <c r="C67" s="1" t="s">
        <v>15</v>
      </c>
      <c r="D67" s="2">
        <v>45881</v>
      </c>
      <c r="E67" s="2">
        <v>45885</v>
      </c>
      <c r="F67" s="1" t="s">
        <v>1085</v>
      </c>
      <c r="G67" s="1" t="s">
        <v>75</v>
      </c>
      <c r="H67" s="1" t="s">
        <v>25</v>
      </c>
      <c r="I67">
        <v>9</v>
      </c>
      <c r="J67" s="1" t="s">
        <v>238</v>
      </c>
      <c r="K67" s="1" t="s">
        <v>16</v>
      </c>
      <c r="L67" s="1" t="s">
        <v>17</v>
      </c>
      <c r="M67" s="1" t="s">
        <v>641</v>
      </c>
      <c r="N67">
        <v>80</v>
      </c>
      <c r="O67">
        <v>4</v>
      </c>
      <c r="P67" t="s">
        <v>1099</v>
      </c>
      <c r="Q67" s="1" t="s">
        <v>1106</v>
      </c>
    </row>
    <row r="68" spans="1:17" x14ac:dyDescent="0.25">
      <c r="A68" s="1" t="s">
        <v>704</v>
      </c>
      <c r="B68" s="1" t="s">
        <v>205</v>
      </c>
      <c r="C68" s="1" t="s">
        <v>15</v>
      </c>
      <c r="D68" s="2">
        <v>45863</v>
      </c>
      <c r="E68" s="2">
        <v>45867</v>
      </c>
      <c r="F68" s="1" t="s">
        <v>1087</v>
      </c>
      <c r="G68" s="1" t="s">
        <v>206</v>
      </c>
      <c r="H68" s="1" t="s">
        <v>25</v>
      </c>
      <c r="I68">
        <v>64</v>
      </c>
      <c r="J68" s="1" t="s">
        <v>168</v>
      </c>
      <c r="K68" s="1" t="s">
        <v>16</v>
      </c>
      <c r="L68" s="1" t="s">
        <v>17</v>
      </c>
      <c r="M68" s="1" t="s">
        <v>625</v>
      </c>
      <c r="N68">
        <v>190</v>
      </c>
      <c r="O68">
        <v>4</v>
      </c>
      <c r="P68" t="s">
        <v>1088</v>
      </c>
      <c r="Q68" s="1" t="s">
        <v>1105</v>
      </c>
    </row>
    <row r="69" spans="1:17" x14ac:dyDescent="0.25">
      <c r="A69" s="1" t="s">
        <v>741</v>
      </c>
      <c r="B69" s="1" t="s">
        <v>235</v>
      </c>
      <c r="C69" s="1" t="s">
        <v>15</v>
      </c>
      <c r="D69" s="2">
        <v>46006</v>
      </c>
      <c r="E69" s="2">
        <v>46009</v>
      </c>
      <c r="F69" s="1" t="s">
        <v>1089</v>
      </c>
      <c r="G69" s="1" t="s">
        <v>236</v>
      </c>
      <c r="H69" s="1" t="s">
        <v>29</v>
      </c>
      <c r="I69">
        <v>39</v>
      </c>
      <c r="J69" s="1" t="s">
        <v>168</v>
      </c>
      <c r="K69" s="1" t="s">
        <v>16</v>
      </c>
      <c r="L69" s="1" t="s">
        <v>17</v>
      </c>
      <c r="M69" s="1" t="s">
        <v>664</v>
      </c>
      <c r="N69">
        <v>95</v>
      </c>
      <c r="O69">
        <v>3</v>
      </c>
      <c r="P69" t="s">
        <v>1092</v>
      </c>
      <c r="Q69" s="1" t="s">
        <v>1110</v>
      </c>
    </row>
    <row r="70" spans="1:17" x14ac:dyDescent="0.25">
      <c r="A70" s="1" t="s">
        <v>684</v>
      </c>
      <c r="B70" s="1" t="s">
        <v>185</v>
      </c>
      <c r="C70" s="1" t="s">
        <v>15</v>
      </c>
      <c r="D70" s="2">
        <v>45764</v>
      </c>
      <c r="E70" s="2">
        <v>45768</v>
      </c>
      <c r="F70" s="1" t="s">
        <v>1096</v>
      </c>
      <c r="G70" s="1" t="s">
        <v>186</v>
      </c>
      <c r="H70" s="1" t="s">
        <v>25</v>
      </c>
      <c r="I70">
        <v>37</v>
      </c>
      <c r="J70" s="1" t="s">
        <v>168</v>
      </c>
      <c r="K70" s="1" t="s">
        <v>16</v>
      </c>
      <c r="L70" s="1" t="s">
        <v>17</v>
      </c>
      <c r="M70" s="1" t="s">
        <v>501</v>
      </c>
      <c r="N70">
        <v>1250</v>
      </c>
      <c r="O70">
        <v>4</v>
      </c>
      <c r="P70" t="s">
        <v>1092</v>
      </c>
      <c r="Q70" s="1" t="s">
        <v>1094</v>
      </c>
    </row>
    <row r="71" spans="1:17" x14ac:dyDescent="0.25">
      <c r="A71" s="1" t="s">
        <v>715</v>
      </c>
      <c r="B71" s="1" t="s">
        <v>215</v>
      </c>
      <c r="C71" s="1" t="s">
        <v>15</v>
      </c>
      <c r="D71" s="2">
        <v>45912</v>
      </c>
      <c r="E71" s="2">
        <v>45915</v>
      </c>
      <c r="F71" s="1" t="s">
        <v>1089</v>
      </c>
      <c r="G71" s="1" t="s">
        <v>216</v>
      </c>
      <c r="H71" s="1" t="s">
        <v>29</v>
      </c>
      <c r="I71">
        <v>15</v>
      </c>
      <c r="J71" s="1" t="s">
        <v>168</v>
      </c>
      <c r="K71" s="1" t="s">
        <v>16</v>
      </c>
      <c r="L71" s="1" t="s">
        <v>17</v>
      </c>
      <c r="M71" s="1" t="s">
        <v>635</v>
      </c>
      <c r="N71">
        <v>95</v>
      </c>
      <c r="O71">
        <v>3</v>
      </c>
      <c r="P71" t="s">
        <v>1099</v>
      </c>
      <c r="Q71" s="1" t="s">
        <v>1107</v>
      </c>
    </row>
    <row r="72" spans="1:17" x14ac:dyDescent="0.25">
      <c r="A72" s="1" t="s">
        <v>674</v>
      </c>
      <c r="B72" s="1" t="s">
        <v>175</v>
      </c>
      <c r="C72" s="1" t="s">
        <v>15</v>
      </c>
      <c r="D72" s="2">
        <v>45713</v>
      </c>
      <c r="E72" s="2">
        <v>45717</v>
      </c>
      <c r="F72" s="1" t="s">
        <v>1089</v>
      </c>
      <c r="G72" s="1" t="s">
        <v>176</v>
      </c>
      <c r="H72" s="1" t="s">
        <v>29</v>
      </c>
      <c r="I72">
        <v>33</v>
      </c>
      <c r="J72" s="1" t="s">
        <v>168</v>
      </c>
      <c r="K72" s="1" t="s">
        <v>16</v>
      </c>
      <c r="L72" s="1" t="s">
        <v>17</v>
      </c>
      <c r="M72" s="1" t="s">
        <v>489</v>
      </c>
      <c r="N72">
        <v>60</v>
      </c>
      <c r="O72">
        <v>4</v>
      </c>
      <c r="P72" t="s">
        <v>1083</v>
      </c>
      <c r="Q72" s="1" t="s">
        <v>1086</v>
      </c>
    </row>
    <row r="73" spans="1:17" x14ac:dyDescent="0.25">
      <c r="A73" s="1" t="s">
        <v>728</v>
      </c>
      <c r="B73" s="1" t="s">
        <v>225</v>
      </c>
      <c r="C73" s="1" t="s">
        <v>15</v>
      </c>
      <c r="D73" s="2">
        <v>45960</v>
      </c>
      <c r="E73" s="2">
        <v>45964</v>
      </c>
      <c r="F73" s="1" t="s">
        <v>1096</v>
      </c>
      <c r="G73" s="1" t="s">
        <v>226</v>
      </c>
      <c r="H73" s="1" t="s">
        <v>25</v>
      </c>
      <c r="I73">
        <v>36</v>
      </c>
      <c r="J73" s="1" t="s">
        <v>168</v>
      </c>
      <c r="K73" s="1" t="s">
        <v>16</v>
      </c>
      <c r="L73" s="1" t="s">
        <v>17</v>
      </c>
      <c r="M73" s="1" t="s">
        <v>729</v>
      </c>
      <c r="N73">
        <v>1250</v>
      </c>
      <c r="O73">
        <v>4</v>
      </c>
      <c r="P73" t="s">
        <v>1092</v>
      </c>
      <c r="Q73" s="1" t="s">
        <v>1108</v>
      </c>
    </row>
    <row r="74" spans="1:17" x14ac:dyDescent="0.25">
      <c r="A74" s="1" t="s">
        <v>694</v>
      </c>
      <c r="B74" s="1" t="s">
        <v>195</v>
      </c>
      <c r="C74" s="1" t="s">
        <v>15</v>
      </c>
      <c r="D74" s="2">
        <v>45816</v>
      </c>
      <c r="E74" s="2">
        <v>45820</v>
      </c>
      <c r="F74" s="1" t="s">
        <v>1089</v>
      </c>
      <c r="G74" s="1" t="s">
        <v>196</v>
      </c>
      <c r="H74" s="1" t="s">
        <v>29</v>
      </c>
      <c r="I74">
        <v>31</v>
      </c>
      <c r="J74" s="1" t="s">
        <v>168</v>
      </c>
      <c r="K74" s="1" t="s">
        <v>16</v>
      </c>
      <c r="L74" s="1" t="s">
        <v>17</v>
      </c>
      <c r="M74" s="1" t="s">
        <v>531</v>
      </c>
      <c r="N74">
        <v>90</v>
      </c>
      <c r="O74">
        <v>4</v>
      </c>
      <c r="P74" t="s">
        <v>1083</v>
      </c>
      <c r="Q74" s="1" t="s">
        <v>1102</v>
      </c>
    </row>
    <row r="75" spans="1:17" x14ac:dyDescent="0.25">
      <c r="A75" s="1" t="s">
        <v>761</v>
      </c>
      <c r="B75" s="1" t="s">
        <v>249</v>
      </c>
      <c r="C75" s="1" t="s">
        <v>15</v>
      </c>
      <c r="D75" s="2">
        <v>45757</v>
      </c>
      <c r="E75" s="2">
        <v>45761</v>
      </c>
      <c r="F75" s="1" t="s">
        <v>1096</v>
      </c>
      <c r="G75" s="1" t="s">
        <v>45</v>
      </c>
      <c r="H75" s="1" t="s">
        <v>29</v>
      </c>
      <c r="I75">
        <v>44</v>
      </c>
      <c r="J75" s="1" t="s">
        <v>238</v>
      </c>
      <c r="K75" s="1" t="s">
        <v>16</v>
      </c>
      <c r="L75" s="1" t="s">
        <v>17</v>
      </c>
      <c r="M75" s="1" t="s">
        <v>501</v>
      </c>
      <c r="N75">
        <v>1250</v>
      </c>
      <c r="O75">
        <v>4</v>
      </c>
      <c r="P75" t="s">
        <v>1092</v>
      </c>
      <c r="Q75" s="1" t="s">
        <v>1094</v>
      </c>
    </row>
    <row r="76" spans="1:17" x14ac:dyDescent="0.25">
      <c r="A76" s="1" t="s">
        <v>751</v>
      </c>
      <c r="B76" s="1" t="s">
        <v>244</v>
      </c>
      <c r="C76" s="1" t="s">
        <v>15</v>
      </c>
      <c r="D76" s="2">
        <v>45710</v>
      </c>
      <c r="E76" s="2">
        <v>45714</v>
      </c>
      <c r="F76" s="1" t="s">
        <v>1087</v>
      </c>
      <c r="G76" s="1" t="s">
        <v>35</v>
      </c>
      <c r="H76" s="1" t="s">
        <v>25</v>
      </c>
      <c r="I76">
        <v>41</v>
      </c>
      <c r="J76" s="1" t="s">
        <v>238</v>
      </c>
      <c r="K76" s="1" t="s">
        <v>16</v>
      </c>
      <c r="L76" s="1" t="s">
        <v>17</v>
      </c>
      <c r="M76" s="1" t="s">
        <v>486</v>
      </c>
      <c r="N76">
        <v>200</v>
      </c>
      <c r="O76">
        <v>4</v>
      </c>
      <c r="P76" t="s">
        <v>1092</v>
      </c>
      <c r="Q76" s="1" t="s">
        <v>1086</v>
      </c>
    </row>
    <row r="77" spans="1:17" x14ac:dyDescent="0.25">
      <c r="A77" s="1" t="s">
        <v>771</v>
      </c>
      <c r="B77" s="1" t="s">
        <v>254</v>
      </c>
      <c r="C77" s="1" t="s">
        <v>15</v>
      </c>
      <c r="D77" s="2">
        <v>45802</v>
      </c>
      <c r="E77" s="2">
        <v>45806</v>
      </c>
      <c r="F77" s="1" t="s">
        <v>1089</v>
      </c>
      <c r="G77" s="1" t="s">
        <v>55</v>
      </c>
      <c r="H77" s="1" t="s">
        <v>25</v>
      </c>
      <c r="I77">
        <v>61</v>
      </c>
      <c r="J77" s="1" t="s">
        <v>238</v>
      </c>
      <c r="K77" s="1" t="s">
        <v>16</v>
      </c>
      <c r="L77" s="1" t="s">
        <v>17</v>
      </c>
      <c r="M77" s="1" t="s">
        <v>531</v>
      </c>
      <c r="N77">
        <v>90</v>
      </c>
      <c r="O77">
        <v>4</v>
      </c>
      <c r="P77" t="s">
        <v>1088</v>
      </c>
      <c r="Q77" s="1" t="s">
        <v>1097</v>
      </c>
    </row>
    <row r="78" spans="1:17" x14ac:dyDescent="0.25">
      <c r="A78" s="1" t="s">
        <v>602</v>
      </c>
      <c r="B78" s="1" t="s">
        <v>115</v>
      </c>
      <c r="C78" s="1" t="s">
        <v>15</v>
      </c>
      <c r="D78" s="2">
        <v>45782</v>
      </c>
      <c r="E78" s="2">
        <v>45786</v>
      </c>
      <c r="F78" s="1" t="s">
        <v>1096</v>
      </c>
      <c r="G78" s="1" t="s">
        <v>116</v>
      </c>
      <c r="H78" s="1" t="s">
        <v>25</v>
      </c>
      <c r="I78">
        <v>38</v>
      </c>
      <c r="J78" s="1" t="s">
        <v>98</v>
      </c>
      <c r="K78" s="1" t="s">
        <v>16</v>
      </c>
      <c r="L78" s="1" t="s">
        <v>17</v>
      </c>
      <c r="M78" s="1" t="s">
        <v>501</v>
      </c>
      <c r="N78">
        <v>1250</v>
      </c>
      <c r="O78">
        <v>4</v>
      </c>
      <c r="P78" t="s">
        <v>1092</v>
      </c>
      <c r="Q78" s="1" t="s">
        <v>1097</v>
      </c>
    </row>
    <row r="79" spans="1:17" x14ac:dyDescent="0.25">
      <c r="A79" s="1" t="s">
        <v>1111</v>
      </c>
      <c r="B79" s="1" t="s">
        <v>259</v>
      </c>
      <c r="C79" s="1" t="s">
        <v>15</v>
      </c>
      <c r="D79" s="2">
        <v>45843</v>
      </c>
      <c r="E79" s="2">
        <v>45847</v>
      </c>
      <c r="F79" s="1" t="s">
        <v>1096</v>
      </c>
      <c r="G79" s="1" t="s">
        <v>65</v>
      </c>
      <c r="H79" s="1" t="s">
        <v>29</v>
      </c>
      <c r="I79">
        <v>22</v>
      </c>
      <c r="J79" s="1" t="s">
        <v>238</v>
      </c>
      <c r="K79" s="1" t="s">
        <v>16</v>
      </c>
      <c r="L79" s="1" t="s">
        <v>17</v>
      </c>
      <c r="M79" s="1"/>
      <c r="O79">
        <v>4</v>
      </c>
      <c r="P79" t="s">
        <v>1083</v>
      </c>
      <c r="Q79" s="1" t="s">
        <v>1105</v>
      </c>
    </row>
    <row r="80" spans="1:17" x14ac:dyDescent="0.25">
      <c r="A80" s="1" t="s">
        <v>663</v>
      </c>
      <c r="B80" s="1" t="s">
        <v>164</v>
      </c>
      <c r="C80" s="1" t="s">
        <v>15</v>
      </c>
      <c r="D80" s="2">
        <v>46019</v>
      </c>
      <c r="E80" s="2">
        <v>46022</v>
      </c>
      <c r="F80" s="1" t="s">
        <v>1089</v>
      </c>
      <c r="G80" s="1" t="s">
        <v>165</v>
      </c>
      <c r="H80" s="1" t="s">
        <v>29</v>
      </c>
      <c r="I80">
        <v>28</v>
      </c>
      <c r="J80" s="1" t="s">
        <v>98</v>
      </c>
      <c r="K80" s="1" t="s">
        <v>16</v>
      </c>
      <c r="L80" s="1" t="s">
        <v>17</v>
      </c>
      <c r="M80" s="1" t="s">
        <v>664</v>
      </c>
      <c r="N80">
        <v>95</v>
      </c>
      <c r="O80">
        <v>3</v>
      </c>
      <c r="P80" t="s">
        <v>1083</v>
      </c>
      <c r="Q80" s="1" t="s">
        <v>1110</v>
      </c>
    </row>
    <row r="81" spans="1:17" x14ac:dyDescent="0.25">
      <c r="A81" s="1" t="s">
        <v>815</v>
      </c>
      <c r="B81" s="1" t="s">
        <v>287</v>
      </c>
      <c r="C81" s="1" t="s">
        <v>15</v>
      </c>
      <c r="D81" s="2">
        <v>45752</v>
      </c>
      <c r="E81" s="2">
        <v>45756</v>
      </c>
      <c r="F81" s="1" t="s">
        <v>1096</v>
      </c>
      <c r="G81" s="1" t="s">
        <v>288</v>
      </c>
      <c r="H81" s="1" t="s">
        <v>29</v>
      </c>
      <c r="I81">
        <v>44</v>
      </c>
      <c r="J81" s="1" t="s">
        <v>271</v>
      </c>
      <c r="K81" s="1" t="s">
        <v>16</v>
      </c>
      <c r="L81" s="1" t="s">
        <v>17</v>
      </c>
      <c r="M81" s="1" t="s">
        <v>501</v>
      </c>
      <c r="N81">
        <v>1250</v>
      </c>
      <c r="O81">
        <v>4</v>
      </c>
      <c r="P81" t="s">
        <v>1092</v>
      </c>
      <c r="Q81" s="1" t="s">
        <v>1094</v>
      </c>
    </row>
    <row r="82" spans="1:17" x14ac:dyDescent="0.25">
      <c r="A82" s="1" t="s">
        <v>834</v>
      </c>
      <c r="B82" s="1" t="s">
        <v>304</v>
      </c>
      <c r="C82" s="1" t="s">
        <v>15</v>
      </c>
      <c r="D82" s="2">
        <v>45839</v>
      </c>
      <c r="E82" s="2">
        <v>45843</v>
      </c>
      <c r="F82" s="1" t="s">
        <v>1096</v>
      </c>
      <c r="G82" s="1" t="s">
        <v>65</v>
      </c>
      <c r="H82" s="1" t="s">
        <v>29</v>
      </c>
      <c r="I82">
        <v>22</v>
      </c>
      <c r="J82" s="1" t="s">
        <v>271</v>
      </c>
      <c r="K82" s="1" t="s">
        <v>16</v>
      </c>
      <c r="L82" s="1" t="s">
        <v>17</v>
      </c>
      <c r="M82" s="1" t="s">
        <v>537</v>
      </c>
      <c r="N82">
        <v>1250</v>
      </c>
      <c r="O82">
        <v>4</v>
      </c>
      <c r="P82" t="s">
        <v>1083</v>
      </c>
      <c r="Q82" s="1" t="s">
        <v>1105</v>
      </c>
    </row>
    <row r="83" spans="1:17" x14ac:dyDescent="0.25">
      <c r="A83" s="1" t="s">
        <v>807</v>
      </c>
      <c r="B83" s="1" t="s">
        <v>278</v>
      </c>
      <c r="C83" s="1" t="s">
        <v>15</v>
      </c>
      <c r="D83" s="2">
        <v>45708</v>
      </c>
      <c r="E83" s="2">
        <v>45712</v>
      </c>
      <c r="F83" s="1" t="s">
        <v>1089</v>
      </c>
      <c r="G83" s="1" t="s">
        <v>279</v>
      </c>
      <c r="H83" s="1" t="s">
        <v>25</v>
      </c>
      <c r="I83">
        <v>41</v>
      </c>
      <c r="J83" s="1" t="s">
        <v>271</v>
      </c>
      <c r="K83" s="1" t="s">
        <v>16</v>
      </c>
      <c r="L83" s="1" t="s">
        <v>17</v>
      </c>
      <c r="M83" s="1" t="s">
        <v>489</v>
      </c>
      <c r="N83">
        <v>60</v>
      </c>
      <c r="O83">
        <v>4</v>
      </c>
      <c r="P83" t="s">
        <v>1092</v>
      </c>
      <c r="Q83" s="1" t="s">
        <v>1086</v>
      </c>
    </row>
    <row r="84" spans="1:17" x14ac:dyDescent="0.25">
      <c r="A84" s="1" t="s">
        <v>844</v>
      </c>
      <c r="B84" s="1" t="s">
        <v>311</v>
      </c>
      <c r="C84" s="1" t="s">
        <v>15</v>
      </c>
      <c r="D84" s="2">
        <v>45880</v>
      </c>
      <c r="E84" s="2">
        <v>45884</v>
      </c>
      <c r="F84" s="1" t="s">
        <v>1089</v>
      </c>
      <c r="G84" s="1" t="s">
        <v>75</v>
      </c>
      <c r="H84" s="1" t="s">
        <v>25</v>
      </c>
      <c r="I84">
        <v>9</v>
      </c>
      <c r="J84" s="1" t="s">
        <v>271</v>
      </c>
      <c r="K84" s="1" t="s">
        <v>16</v>
      </c>
      <c r="L84" s="1" t="s">
        <v>17</v>
      </c>
      <c r="M84" s="1" t="s">
        <v>635</v>
      </c>
      <c r="N84">
        <v>95</v>
      </c>
      <c r="O84">
        <v>4</v>
      </c>
      <c r="P84" t="s">
        <v>1099</v>
      </c>
      <c r="Q84" s="1" t="s">
        <v>1106</v>
      </c>
    </row>
    <row r="85" spans="1:17" x14ac:dyDescent="0.25">
      <c r="A85" s="1" t="s">
        <v>825</v>
      </c>
      <c r="B85" s="1" t="s">
        <v>157</v>
      </c>
      <c r="C85" s="1" t="s">
        <v>15</v>
      </c>
      <c r="D85" s="2">
        <v>45797</v>
      </c>
      <c r="E85" s="2">
        <v>45801</v>
      </c>
      <c r="F85" s="1" t="s">
        <v>1089</v>
      </c>
      <c r="G85" s="1" t="s">
        <v>85</v>
      </c>
      <c r="H85" s="1" t="s">
        <v>29</v>
      </c>
      <c r="I85">
        <v>65</v>
      </c>
      <c r="J85" s="1" t="s">
        <v>98</v>
      </c>
      <c r="K85" s="1" t="s">
        <v>16</v>
      </c>
      <c r="L85" s="1" t="s">
        <v>17</v>
      </c>
      <c r="M85" s="1" t="s">
        <v>531</v>
      </c>
      <c r="N85">
        <v>90</v>
      </c>
      <c r="O85">
        <v>4</v>
      </c>
      <c r="P85" t="s">
        <v>1088</v>
      </c>
      <c r="Q85" s="1" t="s">
        <v>1097</v>
      </c>
    </row>
    <row r="86" spans="1:17" x14ac:dyDescent="0.25">
      <c r="A86" s="1" t="s">
        <v>864</v>
      </c>
      <c r="B86" s="1" t="s">
        <v>330</v>
      </c>
      <c r="C86" s="1" t="s">
        <v>15</v>
      </c>
      <c r="D86" s="2">
        <v>45741</v>
      </c>
      <c r="E86" s="2">
        <v>45745</v>
      </c>
      <c r="F86" s="1" t="s">
        <v>1096</v>
      </c>
      <c r="G86" s="1" t="s">
        <v>331</v>
      </c>
      <c r="H86" s="1" t="s">
        <v>25</v>
      </c>
      <c r="I86">
        <v>37</v>
      </c>
      <c r="J86" s="1" t="s">
        <v>315</v>
      </c>
      <c r="K86" s="1" t="s">
        <v>16</v>
      </c>
      <c r="L86" s="1" t="s">
        <v>17</v>
      </c>
      <c r="M86" s="1" t="s">
        <v>501</v>
      </c>
      <c r="N86">
        <v>1250</v>
      </c>
      <c r="O86">
        <v>4</v>
      </c>
      <c r="P86" t="s">
        <v>1092</v>
      </c>
      <c r="Q86" s="1" t="s">
        <v>1090</v>
      </c>
    </row>
    <row r="87" spans="1:17" x14ac:dyDescent="0.25">
      <c r="A87" s="1" t="s">
        <v>872</v>
      </c>
      <c r="B87" s="1" t="s">
        <v>340</v>
      </c>
      <c r="C87" s="1" t="s">
        <v>15</v>
      </c>
      <c r="D87" s="2">
        <v>45783</v>
      </c>
      <c r="E87" s="2">
        <v>45787</v>
      </c>
      <c r="F87" s="1" t="s">
        <v>1089</v>
      </c>
      <c r="G87" s="1" t="s">
        <v>341</v>
      </c>
      <c r="H87" s="1" t="s">
        <v>29</v>
      </c>
      <c r="I87">
        <v>31</v>
      </c>
      <c r="J87" s="1" t="s">
        <v>315</v>
      </c>
      <c r="K87" s="1" t="s">
        <v>16</v>
      </c>
      <c r="L87" s="1" t="s">
        <v>17</v>
      </c>
      <c r="M87" s="1" t="s">
        <v>531</v>
      </c>
      <c r="N87">
        <v>90</v>
      </c>
      <c r="O87">
        <v>4</v>
      </c>
      <c r="P87" t="s">
        <v>1083</v>
      </c>
      <c r="Q87" s="1" t="s">
        <v>1097</v>
      </c>
    </row>
    <row r="88" spans="1:17" x14ac:dyDescent="0.25">
      <c r="A88" s="1" t="s">
        <v>900</v>
      </c>
      <c r="B88" s="1" t="s">
        <v>368</v>
      </c>
      <c r="C88" s="1" t="s">
        <v>15</v>
      </c>
      <c r="D88" s="2">
        <v>45903</v>
      </c>
      <c r="E88" s="2">
        <v>45907</v>
      </c>
      <c r="F88" s="1" t="s">
        <v>1096</v>
      </c>
      <c r="G88" s="1" t="s">
        <v>369</v>
      </c>
      <c r="H88" s="1" t="s">
        <v>25</v>
      </c>
      <c r="I88">
        <v>36</v>
      </c>
      <c r="J88" s="1" t="s">
        <v>315</v>
      </c>
      <c r="K88" s="1" t="s">
        <v>16</v>
      </c>
      <c r="L88" s="1" t="s">
        <v>17</v>
      </c>
      <c r="M88" s="1" t="s">
        <v>729</v>
      </c>
      <c r="N88">
        <v>1250</v>
      </c>
      <c r="O88">
        <v>4</v>
      </c>
      <c r="P88" t="s">
        <v>1092</v>
      </c>
      <c r="Q88" s="1" t="s">
        <v>1107</v>
      </c>
    </row>
    <row r="89" spans="1:17" x14ac:dyDescent="0.25">
      <c r="A89" s="1" t="s">
        <v>882</v>
      </c>
      <c r="B89" s="1" t="s">
        <v>350</v>
      </c>
      <c r="C89" s="1" t="s">
        <v>15</v>
      </c>
      <c r="D89" s="2">
        <v>45823</v>
      </c>
      <c r="E89" s="2">
        <v>45827</v>
      </c>
      <c r="F89" s="1" t="s">
        <v>1096</v>
      </c>
      <c r="G89" s="1" t="s">
        <v>351</v>
      </c>
      <c r="H89" s="1" t="s">
        <v>25</v>
      </c>
      <c r="I89">
        <v>64</v>
      </c>
      <c r="J89" s="1" t="s">
        <v>315</v>
      </c>
      <c r="K89" s="1" t="s">
        <v>16</v>
      </c>
      <c r="L89" s="1" t="s">
        <v>17</v>
      </c>
      <c r="M89" s="1" t="s">
        <v>537</v>
      </c>
      <c r="N89">
        <v>1250</v>
      </c>
      <c r="O89">
        <v>4</v>
      </c>
      <c r="P89" t="s">
        <v>1088</v>
      </c>
      <c r="Q89" s="1" t="s">
        <v>1102</v>
      </c>
    </row>
    <row r="90" spans="1:17" x14ac:dyDescent="0.25">
      <c r="A90" s="1" t="s">
        <v>892</v>
      </c>
      <c r="B90" s="1" t="s">
        <v>360</v>
      </c>
      <c r="C90" s="1" t="s">
        <v>15</v>
      </c>
      <c r="D90" s="2">
        <v>45863</v>
      </c>
      <c r="E90" s="2">
        <v>45867</v>
      </c>
      <c r="F90" s="1" t="s">
        <v>1089</v>
      </c>
      <c r="G90" s="1" t="s">
        <v>361</v>
      </c>
      <c r="H90" s="1" t="s">
        <v>29</v>
      </c>
      <c r="I90">
        <v>15</v>
      </c>
      <c r="J90" s="1" t="s">
        <v>315</v>
      </c>
      <c r="K90" s="1" t="s">
        <v>16</v>
      </c>
      <c r="L90" s="1" t="s">
        <v>17</v>
      </c>
      <c r="M90" s="1" t="s">
        <v>635</v>
      </c>
      <c r="N90">
        <v>95</v>
      </c>
      <c r="O90">
        <v>4</v>
      </c>
      <c r="P90" t="s">
        <v>1099</v>
      </c>
      <c r="Q90" s="1" t="s">
        <v>1105</v>
      </c>
    </row>
    <row r="91" spans="1:17" x14ac:dyDescent="0.25">
      <c r="A91" s="1" t="s">
        <v>592</v>
      </c>
      <c r="B91" s="1" t="s">
        <v>105</v>
      </c>
      <c r="C91" s="1" t="s">
        <v>15</v>
      </c>
      <c r="D91" s="2">
        <v>45727</v>
      </c>
      <c r="E91" s="2">
        <v>45731</v>
      </c>
      <c r="F91" s="1" t="s">
        <v>1087</v>
      </c>
      <c r="G91" s="1" t="s">
        <v>106</v>
      </c>
      <c r="H91" s="1" t="s">
        <v>29</v>
      </c>
      <c r="I91">
        <v>36</v>
      </c>
      <c r="J91" s="1" t="s">
        <v>98</v>
      </c>
      <c r="K91" s="1" t="s">
        <v>16</v>
      </c>
      <c r="L91" s="1" t="s">
        <v>17</v>
      </c>
      <c r="M91" s="1" t="s">
        <v>486</v>
      </c>
      <c r="N91">
        <v>200</v>
      </c>
      <c r="O91">
        <v>4</v>
      </c>
      <c r="P91" t="s">
        <v>1092</v>
      </c>
      <c r="Q91" s="1" t="s">
        <v>1090</v>
      </c>
    </row>
    <row r="92" spans="1:17" x14ac:dyDescent="0.25">
      <c r="A92" s="1" t="s">
        <v>592</v>
      </c>
      <c r="B92" s="1" t="s">
        <v>105</v>
      </c>
      <c r="C92" s="1" t="s">
        <v>15</v>
      </c>
      <c r="D92" s="2">
        <v>45727</v>
      </c>
      <c r="E92" s="2">
        <v>45731</v>
      </c>
      <c r="F92" s="1" t="s">
        <v>1087</v>
      </c>
      <c r="G92" s="1" t="s">
        <v>106</v>
      </c>
      <c r="H92" s="1" t="s">
        <v>29</v>
      </c>
      <c r="I92">
        <v>36</v>
      </c>
      <c r="J92" s="1" t="s">
        <v>98</v>
      </c>
      <c r="K92" s="1" t="s">
        <v>16</v>
      </c>
      <c r="L92" s="1" t="s">
        <v>17</v>
      </c>
      <c r="M92" s="1" t="s">
        <v>543</v>
      </c>
      <c r="N92">
        <v>210</v>
      </c>
      <c r="O92">
        <v>4</v>
      </c>
      <c r="P92" t="s">
        <v>1092</v>
      </c>
      <c r="Q92" s="1" t="s">
        <v>1090</v>
      </c>
    </row>
    <row r="93" spans="1:17" x14ac:dyDescent="0.25">
      <c r="A93" s="1" t="s">
        <v>856</v>
      </c>
      <c r="B93" s="1" t="s">
        <v>105</v>
      </c>
      <c r="C93" s="1" t="s">
        <v>15</v>
      </c>
      <c r="D93" s="2">
        <v>45698</v>
      </c>
      <c r="E93" s="2">
        <v>45702</v>
      </c>
      <c r="F93" s="1" t="s">
        <v>1089</v>
      </c>
      <c r="G93" s="1" t="s">
        <v>106</v>
      </c>
      <c r="H93" s="1" t="s">
        <v>29</v>
      </c>
      <c r="I93">
        <v>36</v>
      </c>
      <c r="J93" s="1" t="s">
        <v>98</v>
      </c>
      <c r="K93" s="1" t="s">
        <v>16</v>
      </c>
      <c r="L93" s="1" t="s">
        <v>17</v>
      </c>
      <c r="M93" s="1" t="s">
        <v>489</v>
      </c>
      <c r="N93">
        <v>60</v>
      </c>
      <c r="O93">
        <v>4</v>
      </c>
      <c r="P93" t="s">
        <v>1092</v>
      </c>
      <c r="Q93" s="1" t="s">
        <v>1086</v>
      </c>
    </row>
    <row r="94" spans="1:17" x14ac:dyDescent="0.25">
      <c r="A94" s="1" t="s">
        <v>622</v>
      </c>
      <c r="B94" s="1" t="s">
        <v>135</v>
      </c>
      <c r="C94" s="1" t="s">
        <v>15</v>
      </c>
      <c r="D94" s="2">
        <v>45896</v>
      </c>
      <c r="E94" s="2">
        <v>45900</v>
      </c>
      <c r="F94" s="1" t="s">
        <v>1096</v>
      </c>
      <c r="G94" s="1" t="s">
        <v>136</v>
      </c>
      <c r="H94" s="1" t="s">
        <v>25</v>
      </c>
      <c r="I94">
        <v>33</v>
      </c>
      <c r="J94" s="1" t="s">
        <v>98</v>
      </c>
      <c r="K94" s="1" t="s">
        <v>16</v>
      </c>
      <c r="L94" s="1" t="s">
        <v>17</v>
      </c>
      <c r="M94" s="1" t="s">
        <v>537</v>
      </c>
      <c r="N94">
        <v>1250</v>
      </c>
      <c r="O94">
        <v>4</v>
      </c>
      <c r="P94" t="s">
        <v>1083</v>
      </c>
      <c r="Q94" s="1" t="s">
        <v>1106</v>
      </c>
    </row>
    <row r="95" spans="1:17" x14ac:dyDescent="0.25">
      <c r="A95" s="1" t="s">
        <v>944</v>
      </c>
      <c r="B95" s="1" t="s">
        <v>400</v>
      </c>
      <c r="C95" s="1" t="s">
        <v>15</v>
      </c>
      <c r="D95" s="2">
        <v>45823</v>
      </c>
      <c r="E95" s="2">
        <v>45827</v>
      </c>
      <c r="F95" s="1" t="s">
        <v>1096</v>
      </c>
      <c r="G95" s="1" t="s">
        <v>206</v>
      </c>
      <c r="H95" s="1" t="s">
        <v>25</v>
      </c>
      <c r="I95">
        <v>64</v>
      </c>
      <c r="J95" s="1" t="s">
        <v>376</v>
      </c>
      <c r="K95" s="1" t="s">
        <v>16</v>
      </c>
      <c r="L95" s="1" t="s">
        <v>17</v>
      </c>
      <c r="M95" s="1" t="s">
        <v>537</v>
      </c>
      <c r="N95">
        <v>1250</v>
      </c>
      <c r="O95">
        <v>4</v>
      </c>
      <c r="P95" t="s">
        <v>1088</v>
      </c>
      <c r="Q95" s="1" t="s">
        <v>1102</v>
      </c>
    </row>
    <row r="96" spans="1:17" x14ac:dyDescent="0.25">
      <c r="A96" s="1" t="s">
        <v>924</v>
      </c>
      <c r="B96" s="1" t="s">
        <v>387</v>
      </c>
      <c r="C96" s="1" t="s">
        <v>15</v>
      </c>
      <c r="D96" s="2">
        <v>45741</v>
      </c>
      <c r="E96" s="2">
        <v>45745</v>
      </c>
      <c r="F96" s="1" t="s">
        <v>1096</v>
      </c>
      <c r="G96" s="1" t="s">
        <v>388</v>
      </c>
      <c r="H96" s="1" t="s">
        <v>25</v>
      </c>
      <c r="I96">
        <v>37</v>
      </c>
      <c r="J96" s="1" t="s">
        <v>376</v>
      </c>
      <c r="K96" s="1" t="s">
        <v>16</v>
      </c>
      <c r="L96" s="1" t="s">
        <v>17</v>
      </c>
      <c r="M96" s="1" t="s">
        <v>501</v>
      </c>
      <c r="N96">
        <v>1250</v>
      </c>
      <c r="O96">
        <v>4</v>
      </c>
      <c r="P96" t="s">
        <v>1092</v>
      </c>
      <c r="Q96" s="1" t="s">
        <v>1090</v>
      </c>
    </row>
    <row r="97" spans="1:17" x14ac:dyDescent="0.25">
      <c r="A97" s="1" t="s">
        <v>963</v>
      </c>
      <c r="B97" s="1" t="s">
        <v>410</v>
      </c>
      <c r="C97" s="1" t="s">
        <v>15</v>
      </c>
      <c r="D97" s="2">
        <v>45903</v>
      </c>
      <c r="E97" s="2">
        <v>45907</v>
      </c>
      <c r="F97" s="1" t="s">
        <v>1087</v>
      </c>
      <c r="G97" s="1" t="s">
        <v>226</v>
      </c>
      <c r="H97" s="1" t="s">
        <v>25</v>
      </c>
      <c r="I97">
        <v>36</v>
      </c>
      <c r="J97" s="1" t="s">
        <v>376</v>
      </c>
      <c r="K97" s="1" t="s">
        <v>16</v>
      </c>
      <c r="L97" s="1" t="s">
        <v>17</v>
      </c>
      <c r="M97" s="1" t="s">
        <v>653</v>
      </c>
      <c r="N97">
        <v>180</v>
      </c>
      <c r="O97">
        <v>4</v>
      </c>
      <c r="P97" t="s">
        <v>1092</v>
      </c>
      <c r="Q97" s="1" t="s">
        <v>1107</v>
      </c>
    </row>
    <row r="98" spans="1:17" x14ac:dyDescent="0.25">
      <c r="A98" s="1" t="s">
        <v>934</v>
      </c>
      <c r="B98" s="1" t="s">
        <v>394</v>
      </c>
      <c r="C98" s="1" t="s">
        <v>15</v>
      </c>
      <c r="D98" s="2">
        <v>45783</v>
      </c>
      <c r="E98" s="2">
        <v>45787</v>
      </c>
      <c r="F98" s="1" t="s">
        <v>1089</v>
      </c>
      <c r="G98" s="1" t="s">
        <v>298</v>
      </c>
      <c r="H98" s="1" t="s">
        <v>29</v>
      </c>
      <c r="I98">
        <v>31</v>
      </c>
      <c r="J98" s="1" t="s">
        <v>376</v>
      </c>
      <c r="K98" s="1" t="s">
        <v>16</v>
      </c>
      <c r="L98" s="1" t="s">
        <v>17</v>
      </c>
      <c r="M98" s="1" t="s">
        <v>531</v>
      </c>
      <c r="N98">
        <v>90</v>
      </c>
      <c r="O98">
        <v>4</v>
      </c>
      <c r="P98" t="s">
        <v>1083</v>
      </c>
      <c r="Q98" s="1" t="s">
        <v>1097</v>
      </c>
    </row>
    <row r="99" spans="1:17" x14ac:dyDescent="0.25">
      <c r="A99" s="1" t="s">
        <v>914</v>
      </c>
      <c r="B99" s="1" t="s">
        <v>381</v>
      </c>
      <c r="C99" s="1" t="s">
        <v>15</v>
      </c>
      <c r="D99" s="2">
        <v>45698</v>
      </c>
      <c r="E99" s="2">
        <v>45702</v>
      </c>
      <c r="F99" s="1" t="s">
        <v>1087</v>
      </c>
      <c r="G99" s="1" t="s">
        <v>176</v>
      </c>
      <c r="H99" s="1" t="s">
        <v>29</v>
      </c>
      <c r="I99">
        <v>33</v>
      </c>
      <c r="J99" s="1" t="s">
        <v>376</v>
      </c>
      <c r="K99" s="1" t="s">
        <v>16</v>
      </c>
      <c r="L99" s="1" t="s">
        <v>17</v>
      </c>
      <c r="M99" s="1" t="s">
        <v>486</v>
      </c>
      <c r="N99">
        <v>200</v>
      </c>
      <c r="O99">
        <v>4</v>
      </c>
      <c r="P99" t="s">
        <v>1083</v>
      </c>
      <c r="Q99" s="1" t="s">
        <v>1086</v>
      </c>
    </row>
    <row r="100" spans="1:17" x14ac:dyDescent="0.25">
      <c r="A100" s="1" t="s">
        <v>954</v>
      </c>
      <c r="B100" s="1" t="s">
        <v>405</v>
      </c>
      <c r="C100" s="1" t="s">
        <v>15</v>
      </c>
      <c r="D100" s="2">
        <v>45863</v>
      </c>
      <c r="E100" s="2">
        <v>45867</v>
      </c>
      <c r="F100" s="1" t="s">
        <v>1089</v>
      </c>
      <c r="G100" s="1" t="s">
        <v>216</v>
      </c>
      <c r="H100" s="1" t="s">
        <v>29</v>
      </c>
      <c r="I100">
        <v>15</v>
      </c>
      <c r="J100" s="1" t="s">
        <v>376</v>
      </c>
      <c r="K100" s="1" t="s">
        <v>16</v>
      </c>
      <c r="L100" s="1" t="s">
        <v>17</v>
      </c>
      <c r="M100" s="1" t="s">
        <v>635</v>
      </c>
      <c r="N100">
        <v>95</v>
      </c>
      <c r="O100">
        <v>4</v>
      </c>
      <c r="P100" t="s">
        <v>1099</v>
      </c>
      <c r="Q100" s="1" t="s">
        <v>1105</v>
      </c>
    </row>
    <row r="101" spans="1:17" x14ac:dyDescent="0.25">
      <c r="A101" s="1" t="s">
        <v>612</v>
      </c>
      <c r="B101" s="1" t="s">
        <v>125</v>
      </c>
      <c r="C101" s="1" t="s">
        <v>15</v>
      </c>
      <c r="D101" s="2">
        <v>45840</v>
      </c>
      <c r="E101" s="2">
        <v>45844</v>
      </c>
      <c r="F101" s="1" t="s">
        <v>1089</v>
      </c>
      <c r="G101" s="1" t="s">
        <v>126</v>
      </c>
      <c r="H101" s="1" t="s">
        <v>29</v>
      </c>
      <c r="I101">
        <v>40</v>
      </c>
      <c r="J101" s="1" t="s">
        <v>98</v>
      </c>
      <c r="K101" s="1" t="s">
        <v>16</v>
      </c>
      <c r="L101" s="1" t="s">
        <v>17</v>
      </c>
      <c r="M101" s="1" t="s">
        <v>531</v>
      </c>
      <c r="N101">
        <v>90</v>
      </c>
      <c r="O101">
        <v>4</v>
      </c>
      <c r="P101" t="s">
        <v>1092</v>
      </c>
      <c r="Q101" s="1" t="s">
        <v>1105</v>
      </c>
    </row>
    <row r="102" spans="1:17" x14ac:dyDescent="0.25">
      <c r="A102" s="1" t="s">
        <v>1007</v>
      </c>
      <c r="B102" s="1" t="s">
        <v>440</v>
      </c>
      <c r="C102" s="1" t="s">
        <v>15</v>
      </c>
      <c r="D102" s="2">
        <v>45838</v>
      </c>
      <c r="E102" s="2">
        <v>45842</v>
      </c>
      <c r="F102" s="1" t="s">
        <v>1096</v>
      </c>
      <c r="G102" s="1" t="s">
        <v>65</v>
      </c>
      <c r="H102" s="1" t="s">
        <v>29</v>
      </c>
      <c r="I102">
        <v>22</v>
      </c>
      <c r="J102" s="1" t="s">
        <v>417</v>
      </c>
      <c r="K102" s="1" t="s">
        <v>16</v>
      </c>
      <c r="L102" s="1" t="s">
        <v>17</v>
      </c>
      <c r="M102" s="1" t="s">
        <v>537</v>
      </c>
      <c r="N102">
        <v>1250</v>
      </c>
      <c r="O102">
        <v>4</v>
      </c>
      <c r="P102" t="s">
        <v>1083</v>
      </c>
      <c r="Q102" s="1" t="s">
        <v>1102</v>
      </c>
    </row>
    <row r="103" spans="1:17" x14ac:dyDescent="0.25">
      <c r="A103" s="1" t="s">
        <v>980</v>
      </c>
      <c r="B103" s="1" t="s">
        <v>423</v>
      </c>
      <c r="C103" s="1" t="s">
        <v>15</v>
      </c>
      <c r="D103" s="2">
        <v>45703</v>
      </c>
      <c r="E103" s="2">
        <v>45707</v>
      </c>
      <c r="F103" s="1" t="s">
        <v>1089</v>
      </c>
      <c r="G103" s="1" t="s">
        <v>424</v>
      </c>
      <c r="H103" s="1" t="s">
        <v>25</v>
      </c>
      <c r="I103">
        <v>41</v>
      </c>
      <c r="J103" s="1" t="s">
        <v>417</v>
      </c>
      <c r="K103" s="1" t="s">
        <v>16</v>
      </c>
      <c r="L103" s="1" t="s">
        <v>17</v>
      </c>
      <c r="M103" s="1" t="s">
        <v>489</v>
      </c>
      <c r="N103">
        <v>60</v>
      </c>
      <c r="O103">
        <v>4</v>
      </c>
      <c r="P103" t="s">
        <v>1092</v>
      </c>
      <c r="Q103" s="1" t="s">
        <v>1086</v>
      </c>
    </row>
    <row r="104" spans="1:17" x14ac:dyDescent="0.25">
      <c r="A104" s="1" t="s">
        <v>1017</v>
      </c>
      <c r="B104" s="1" t="s">
        <v>445</v>
      </c>
      <c r="C104" s="1" t="s">
        <v>15</v>
      </c>
      <c r="D104" s="2">
        <v>45883</v>
      </c>
      <c r="E104" s="2">
        <v>45887</v>
      </c>
      <c r="F104" s="1" t="s">
        <v>1089</v>
      </c>
      <c r="G104" s="1" t="s">
        <v>75</v>
      </c>
      <c r="H104" s="1" t="s">
        <v>25</v>
      </c>
      <c r="I104">
        <v>9</v>
      </c>
      <c r="J104" s="1" t="s">
        <v>417</v>
      </c>
      <c r="K104" s="1" t="s">
        <v>16</v>
      </c>
      <c r="L104" s="1" t="s">
        <v>17</v>
      </c>
      <c r="M104" s="1" t="s">
        <v>635</v>
      </c>
      <c r="N104">
        <v>95</v>
      </c>
      <c r="O104">
        <v>4</v>
      </c>
      <c r="P104" t="s">
        <v>1099</v>
      </c>
      <c r="Q104" s="1" t="s">
        <v>1106</v>
      </c>
    </row>
    <row r="105" spans="1:17" x14ac:dyDescent="0.25">
      <c r="A105" s="1" t="s">
        <v>997</v>
      </c>
      <c r="B105" s="1" t="s">
        <v>435</v>
      </c>
      <c r="C105" s="1" t="s">
        <v>15</v>
      </c>
      <c r="D105" s="2">
        <v>45793</v>
      </c>
      <c r="E105" s="2">
        <v>45797</v>
      </c>
      <c r="F105" s="1" t="s">
        <v>1089</v>
      </c>
      <c r="G105" s="1" t="s">
        <v>55</v>
      </c>
      <c r="H105" s="1" t="s">
        <v>25</v>
      </c>
      <c r="I105">
        <v>61</v>
      </c>
      <c r="J105" s="1" t="s">
        <v>417</v>
      </c>
      <c r="K105" s="1" t="s">
        <v>16</v>
      </c>
      <c r="L105" s="1" t="s">
        <v>17</v>
      </c>
      <c r="M105" s="1" t="s">
        <v>531</v>
      </c>
      <c r="N105">
        <v>90</v>
      </c>
      <c r="O105">
        <v>4</v>
      </c>
      <c r="P105" t="s">
        <v>1088</v>
      </c>
      <c r="Q105" s="1" t="s">
        <v>1097</v>
      </c>
    </row>
    <row r="106" spans="1:17" x14ac:dyDescent="0.25">
      <c r="A106" s="1" t="s">
        <v>1039</v>
      </c>
      <c r="B106" s="1" t="s">
        <v>459</v>
      </c>
      <c r="C106" s="1" t="s">
        <v>15</v>
      </c>
      <c r="D106" s="2">
        <v>45735</v>
      </c>
      <c r="E106" s="2">
        <v>45739</v>
      </c>
      <c r="F106" s="1" t="s">
        <v>1096</v>
      </c>
      <c r="G106" s="1" t="s">
        <v>45</v>
      </c>
      <c r="H106" s="1" t="s">
        <v>29</v>
      </c>
      <c r="I106">
        <v>44</v>
      </c>
      <c r="J106" s="1" t="s">
        <v>449</v>
      </c>
      <c r="K106" s="1" t="s">
        <v>16</v>
      </c>
      <c r="L106" s="1" t="s">
        <v>17</v>
      </c>
      <c r="M106" s="1" t="s">
        <v>501</v>
      </c>
      <c r="N106">
        <v>1250</v>
      </c>
      <c r="O106">
        <v>4</v>
      </c>
      <c r="P106" t="s">
        <v>1092</v>
      </c>
      <c r="Q106" s="1" t="s">
        <v>1090</v>
      </c>
    </row>
    <row r="107" spans="1:17" x14ac:dyDescent="0.25">
      <c r="A107" s="1" t="s">
        <v>1057</v>
      </c>
      <c r="B107" s="1" t="s">
        <v>469</v>
      </c>
      <c r="C107" s="1" t="s">
        <v>15</v>
      </c>
      <c r="D107" s="2">
        <v>45815</v>
      </c>
      <c r="E107" s="2">
        <v>45819</v>
      </c>
      <c r="F107" s="1" t="s">
        <v>1096</v>
      </c>
      <c r="G107" s="1" t="s">
        <v>65</v>
      </c>
      <c r="H107" s="1" t="s">
        <v>29</v>
      </c>
      <c r="I107">
        <v>22</v>
      </c>
      <c r="J107" s="1" t="s">
        <v>449</v>
      </c>
      <c r="K107" s="1" t="s">
        <v>16</v>
      </c>
      <c r="L107" s="1" t="s">
        <v>17</v>
      </c>
      <c r="M107" s="1" t="s">
        <v>537</v>
      </c>
      <c r="N107">
        <v>1250</v>
      </c>
      <c r="O107">
        <v>4</v>
      </c>
      <c r="P107" t="s">
        <v>1083</v>
      </c>
      <c r="Q107" s="1" t="s">
        <v>1102</v>
      </c>
    </row>
    <row r="108" spans="1:17" x14ac:dyDescent="0.25">
      <c r="A108" s="1" t="s">
        <v>649</v>
      </c>
      <c r="B108" s="1" t="s">
        <v>155</v>
      </c>
      <c r="C108" s="1" t="s">
        <v>15</v>
      </c>
      <c r="D108" s="2">
        <v>45993</v>
      </c>
      <c r="E108" s="2">
        <v>45997</v>
      </c>
      <c r="F108" s="1" t="s">
        <v>1096</v>
      </c>
      <c r="G108" s="1" t="s">
        <v>156</v>
      </c>
      <c r="H108" s="1" t="s">
        <v>25</v>
      </c>
      <c r="I108">
        <v>39</v>
      </c>
      <c r="J108" s="1" t="s">
        <v>98</v>
      </c>
      <c r="K108" s="1" t="s">
        <v>16</v>
      </c>
      <c r="L108" s="1" t="s">
        <v>17</v>
      </c>
      <c r="M108" s="1" t="s">
        <v>650</v>
      </c>
      <c r="N108">
        <v>1250</v>
      </c>
      <c r="O108">
        <v>4</v>
      </c>
      <c r="P108" t="s">
        <v>1092</v>
      </c>
      <c r="Q108" s="1" t="s">
        <v>1110</v>
      </c>
    </row>
    <row r="109" spans="1:17" x14ac:dyDescent="0.25">
      <c r="A109" s="1" t="s">
        <v>1029</v>
      </c>
      <c r="B109" s="1" t="s">
        <v>454</v>
      </c>
      <c r="C109" s="1" t="s">
        <v>15</v>
      </c>
      <c r="D109" s="2">
        <v>45695</v>
      </c>
      <c r="E109" s="2">
        <v>45699</v>
      </c>
      <c r="F109" s="1" t="s">
        <v>1089</v>
      </c>
      <c r="G109" s="1" t="s">
        <v>424</v>
      </c>
      <c r="H109" s="1" t="s">
        <v>25</v>
      </c>
      <c r="I109">
        <v>41</v>
      </c>
      <c r="J109" s="1" t="s">
        <v>449</v>
      </c>
      <c r="K109" s="1" t="s">
        <v>16</v>
      </c>
      <c r="L109" s="1" t="s">
        <v>17</v>
      </c>
      <c r="M109" s="1" t="s">
        <v>489</v>
      </c>
      <c r="N109">
        <v>60</v>
      </c>
      <c r="O109">
        <v>4</v>
      </c>
      <c r="P109" t="s">
        <v>1092</v>
      </c>
      <c r="Q109" s="1" t="s">
        <v>1086</v>
      </c>
    </row>
    <row r="110" spans="1:17" x14ac:dyDescent="0.25">
      <c r="A110" s="1" t="s">
        <v>1067</v>
      </c>
      <c r="B110" s="1" t="s">
        <v>473</v>
      </c>
      <c r="C110" s="1" t="s">
        <v>15</v>
      </c>
      <c r="D110" s="2">
        <v>45855</v>
      </c>
      <c r="E110" s="2">
        <v>45859</v>
      </c>
      <c r="F110" s="1" t="s">
        <v>1089</v>
      </c>
      <c r="G110" s="1" t="s">
        <v>75</v>
      </c>
      <c r="H110" s="1" t="s">
        <v>25</v>
      </c>
      <c r="I110">
        <v>9</v>
      </c>
      <c r="J110" s="1" t="s">
        <v>449</v>
      </c>
      <c r="K110" s="1" t="s">
        <v>16</v>
      </c>
      <c r="L110" s="1" t="s">
        <v>17</v>
      </c>
      <c r="M110" s="1" t="s">
        <v>635</v>
      </c>
      <c r="N110">
        <v>95</v>
      </c>
      <c r="O110">
        <v>4</v>
      </c>
      <c r="P110" t="s">
        <v>1099</v>
      </c>
      <c r="Q110" s="1" t="s">
        <v>1105</v>
      </c>
    </row>
    <row r="111" spans="1:17" x14ac:dyDescent="0.25">
      <c r="A111" s="1" t="s">
        <v>1049</v>
      </c>
      <c r="B111" s="1" t="s">
        <v>464</v>
      </c>
      <c r="C111" s="1" t="s">
        <v>15</v>
      </c>
      <c r="D111" s="2">
        <v>45775</v>
      </c>
      <c r="E111" s="2">
        <v>45779</v>
      </c>
      <c r="F111" s="1" t="s">
        <v>1089</v>
      </c>
      <c r="G111" s="1" t="s">
        <v>55</v>
      </c>
      <c r="H111" s="1" t="s">
        <v>25</v>
      </c>
      <c r="I111">
        <v>61</v>
      </c>
      <c r="J111" s="1" t="s">
        <v>449</v>
      </c>
      <c r="K111" s="1" t="s">
        <v>16</v>
      </c>
      <c r="L111" s="1" t="s">
        <v>17</v>
      </c>
      <c r="M111" s="1" t="s">
        <v>531</v>
      </c>
      <c r="N111">
        <v>90</v>
      </c>
      <c r="O111">
        <v>4</v>
      </c>
      <c r="P111" t="s">
        <v>1088</v>
      </c>
      <c r="Q111" s="1" t="s">
        <v>1094</v>
      </c>
    </row>
    <row r="112" spans="1:17" x14ac:dyDescent="0.25">
      <c r="A112" s="1" t="s">
        <v>634</v>
      </c>
      <c r="B112" s="1" t="s">
        <v>145</v>
      </c>
      <c r="C112" s="1" t="s">
        <v>15</v>
      </c>
      <c r="D112" s="2">
        <v>45950</v>
      </c>
      <c r="E112" s="2">
        <v>45954</v>
      </c>
      <c r="F112" s="1" t="s">
        <v>1089</v>
      </c>
      <c r="G112" s="1" t="s">
        <v>146</v>
      </c>
      <c r="H112" s="1" t="s">
        <v>29</v>
      </c>
      <c r="I112">
        <v>18</v>
      </c>
      <c r="J112" s="1" t="s">
        <v>98</v>
      </c>
      <c r="K112" s="1" t="s">
        <v>16</v>
      </c>
      <c r="L112" s="1" t="s">
        <v>17</v>
      </c>
      <c r="M112" s="1" t="s">
        <v>635</v>
      </c>
      <c r="N112">
        <v>95</v>
      </c>
      <c r="O112">
        <v>4</v>
      </c>
      <c r="P112" t="s">
        <v>1099</v>
      </c>
      <c r="Q112" s="1" t="s">
        <v>1108</v>
      </c>
    </row>
    <row r="113" spans="1:17" x14ac:dyDescent="0.25">
      <c r="A113" s="1" t="s">
        <v>634</v>
      </c>
      <c r="B113" s="1" t="s">
        <v>145</v>
      </c>
      <c r="C113" s="1" t="s">
        <v>15</v>
      </c>
      <c r="D113" s="2">
        <v>45950</v>
      </c>
      <c r="E113" s="2">
        <v>45954</v>
      </c>
      <c r="F113" s="1" t="s">
        <v>1089</v>
      </c>
      <c r="G113" s="1" t="s">
        <v>146</v>
      </c>
      <c r="H113" s="1" t="s">
        <v>29</v>
      </c>
      <c r="I113">
        <v>18</v>
      </c>
      <c r="J113" s="1" t="s">
        <v>98</v>
      </c>
      <c r="K113" s="1" t="s">
        <v>16</v>
      </c>
      <c r="L113" s="1" t="s">
        <v>17</v>
      </c>
      <c r="M113" s="1" t="s">
        <v>567</v>
      </c>
      <c r="N113">
        <v>115</v>
      </c>
      <c r="O113">
        <v>4</v>
      </c>
      <c r="P113" t="s">
        <v>1099</v>
      </c>
      <c r="Q113" s="1" t="s">
        <v>1108</v>
      </c>
    </row>
    <row r="114" spans="1:17" x14ac:dyDescent="0.25">
      <c r="A114" s="1" t="s">
        <v>482</v>
      </c>
      <c r="B114" s="1" t="s">
        <v>27</v>
      </c>
      <c r="C114" s="1" t="s">
        <v>6</v>
      </c>
      <c r="D114" s="2">
        <v>45691</v>
      </c>
      <c r="E114" s="2">
        <v>45694</v>
      </c>
      <c r="F114" s="1" t="s">
        <v>1085</v>
      </c>
      <c r="G114" s="1" t="s">
        <v>28</v>
      </c>
      <c r="H114" s="1" t="s">
        <v>29</v>
      </c>
      <c r="I114">
        <v>28</v>
      </c>
      <c r="J114" s="1" t="s">
        <v>26</v>
      </c>
      <c r="K114" s="1" t="s">
        <v>7</v>
      </c>
      <c r="L114" s="1" t="s">
        <v>8</v>
      </c>
      <c r="M114" s="1" t="s">
        <v>483</v>
      </c>
      <c r="N114">
        <v>85</v>
      </c>
      <c r="O114">
        <v>3</v>
      </c>
      <c r="P114" t="s">
        <v>1083</v>
      </c>
      <c r="Q114" s="1" t="s">
        <v>1086</v>
      </c>
    </row>
    <row r="115" spans="1:17" x14ac:dyDescent="0.25">
      <c r="A115" s="1" t="s">
        <v>497</v>
      </c>
      <c r="B115" s="1" t="s">
        <v>38</v>
      </c>
      <c r="C115" s="1" t="s">
        <v>6</v>
      </c>
      <c r="D115" s="2">
        <v>45765</v>
      </c>
      <c r="E115" s="2">
        <v>45769</v>
      </c>
      <c r="F115" s="1" t="s">
        <v>1095</v>
      </c>
      <c r="G115" s="1" t="s">
        <v>39</v>
      </c>
      <c r="H115" s="1" t="s">
        <v>25</v>
      </c>
      <c r="I115">
        <v>60</v>
      </c>
      <c r="J115" s="1" t="s">
        <v>26</v>
      </c>
      <c r="K115" s="1" t="s">
        <v>7</v>
      </c>
      <c r="L115" s="1" t="s">
        <v>8</v>
      </c>
      <c r="M115" s="1" t="s">
        <v>498</v>
      </c>
      <c r="N115">
        <v>110</v>
      </c>
      <c r="O115">
        <v>4</v>
      </c>
      <c r="P115" t="s">
        <v>1088</v>
      </c>
      <c r="Q115" s="1" t="s">
        <v>1094</v>
      </c>
    </row>
    <row r="116" spans="1:17" x14ac:dyDescent="0.25">
      <c r="A116" s="1" t="s">
        <v>512</v>
      </c>
      <c r="B116" s="1" t="s">
        <v>48</v>
      </c>
      <c r="C116" s="1" t="s">
        <v>6</v>
      </c>
      <c r="D116" s="2">
        <v>45818</v>
      </c>
      <c r="E116" s="2">
        <v>45821</v>
      </c>
      <c r="F116" s="1" t="s">
        <v>1085</v>
      </c>
      <c r="G116" s="1" t="s">
        <v>49</v>
      </c>
      <c r="H116" s="1" t="s">
        <v>29</v>
      </c>
      <c r="I116">
        <v>29</v>
      </c>
      <c r="J116" s="1" t="s">
        <v>26</v>
      </c>
      <c r="K116" s="1" t="s">
        <v>7</v>
      </c>
      <c r="L116" s="1" t="s">
        <v>8</v>
      </c>
      <c r="M116" s="1" t="s">
        <v>513</v>
      </c>
      <c r="N116">
        <v>80</v>
      </c>
      <c r="O116">
        <v>3</v>
      </c>
      <c r="P116" t="s">
        <v>1083</v>
      </c>
      <c r="Q116" s="1" t="s">
        <v>1102</v>
      </c>
    </row>
    <row r="117" spans="1:17" x14ac:dyDescent="0.25">
      <c r="A117" s="1" t="s">
        <v>527</v>
      </c>
      <c r="B117" s="1" t="s">
        <v>58</v>
      </c>
      <c r="C117" s="1" t="s">
        <v>6</v>
      </c>
      <c r="D117" s="2">
        <v>45870</v>
      </c>
      <c r="E117" s="2">
        <v>45873</v>
      </c>
      <c r="F117" s="1" t="s">
        <v>1091</v>
      </c>
      <c r="G117" s="1" t="s">
        <v>59</v>
      </c>
      <c r="H117" s="1" t="s">
        <v>25</v>
      </c>
      <c r="I117">
        <v>27</v>
      </c>
      <c r="J117" s="1" t="s">
        <v>26</v>
      </c>
      <c r="K117" s="1" t="s">
        <v>7</v>
      </c>
      <c r="L117" s="1" t="s">
        <v>8</v>
      </c>
      <c r="M117" s="1" t="s">
        <v>528</v>
      </c>
      <c r="N117">
        <v>320</v>
      </c>
      <c r="O117">
        <v>3</v>
      </c>
      <c r="P117" t="s">
        <v>1083</v>
      </c>
      <c r="Q117" s="1" t="s">
        <v>1106</v>
      </c>
    </row>
    <row r="118" spans="1:17" x14ac:dyDescent="0.25">
      <c r="A118" s="1" t="s">
        <v>542</v>
      </c>
      <c r="B118" s="1" t="s">
        <v>68</v>
      </c>
      <c r="C118" s="1" t="s">
        <v>6</v>
      </c>
      <c r="D118" s="2">
        <v>45920</v>
      </c>
      <c r="E118" s="2">
        <v>45924</v>
      </c>
      <c r="F118" s="1" t="s">
        <v>1095</v>
      </c>
      <c r="G118" s="1" t="s">
        <v>69</v>
      </c>
      <c r="H118" s="1" t="s">
        <v>29</v>
      </c>
      <c r="I118">
        <v>40</v>
      </c>
      <c r="J118" s="1" t="s">
        <v>26</v>
      </c>
      <c r="K118" s="1" t="s">
        <v>7</v>
      </c>
      <c r="L118" s="1" t="s">
        <v>8</v>
      </c>
      <c r="M118" s="1" t="s">
        <v>543</v>
      </c>
      <c r="N118">
        <v>210</v>
      </c>
      <c r="O118">
        <v>4</v>
      </c>
      <c r="P118" t="s">
        <v>1092</v>
      </c>
      <c r="Q118" s="1" t="s">
        <v>1107</v>
      </c>
    </row>
    <row r="119" spans="1:17" x14ac:dyDescent="0.25">
      <c r="A119" s="1" t="s">
        <v>557</v>
      </c>
      <c r="B119" s="1" t="s">
        <v>78</v>
      </c>
      <c r="C119" s="1" t="s">
        <v>6</v>
      </c>
      <c r="D119" s="2">
        <v>45962</v>
      </c>
      <c r="E119" s="2">
        <v>45966</v>
      </c>
      <c r="F119" s="1" t="s">
        <v>1101</v>
      </c>
      <c r="G119" s="1" t="s">
        <v>79</v>
      </c>
      <c r="H119" s="1" t="s">
        <v>25</v>
      </c>
      <c r="I119">
        <v>43</v>
      </c>
      <c r="J119" s="1" t="s">
        <v>26</v>
      </c>
      <c r="K119" s="1" t="s">
        <v>7</v>
      </c>
      <c r="L119" s="1" t="s">
        <v>8</v>
      </c>
      <c r="M119" s="1" t="s">
        <v>558</v>
      </c>
      <c r="N119">
        <v>100</v>
      </c>
      <c r="O119">
        <v>4</v>
      </c>
      <c r="P119" t="s">
        <v>1092</v>
      </c>
      <c r="Q119" s="1" t="s">
        <v>1109</v>
      </c>
    </row>
    <row r="120" spans="1:17" x14ac:dyDescent="0.25">
      <c r="A120" s="1" t="s">
        <v>572</v>
      </c>
      <c r="B120" s="1" t="s">
        <v>88</v>
      </c>
      <c r="C120" s="1" t="s">
        <v>6</v>
      </c>
      <c r="D120" s="2">
        <v>45996</v>
      </c>
      <c r="E120" s="2">
        <v>45999</v>
      </c>
      <c r="F120" s="1" t="s">
        <v>1085</v>
      </c>
      <c r="G120" s="1" t="s">
        <v>89</v>
      </c>
      <c r="H120" s="1" t="s">
        <v>29</v>
      </c>
      <c r="I120">
        <v>14</v>
      </c>
      <c r="J120" s="1" t="s">
        <v>26</v>
      </c>
      <c r="K120" s="1" t="s">
        <v>7</v>
      </c>
      <c r="L120" s="1" t="s">
        <v>8</v>
      </c>
      <c r="M120" s="1" t="s">
        <v>573</v>
      </c>
      <c r="N120">
        <v>85</v>
      </c>
      <c r="O120">
        <v>3</v>
      </c>
      <c r="P120" t="s">
        <v>1099</v>
      </c>
      <c r="Q120" s="1" t="s">
        <v>1110</v>
      </c>
    </row>
    <row r="121" spans="1:17" x14ac:dyDescent="0.25">
      <c r="A121" s="1" t="s">
        <v>767</v>
      </c>
      <c r="B121" s="1" t="s">
        <v>252</v>
      </c>
      <c r="C121" s="1" t="s">
        <v>6</v>
      </c>
      <c r="D121" s="2">
        <v>45782</v>
      </c>
      <c r="E121" s="2">
        <v>45786</v>
      </c>
      <c r="F121" s="1" t="s">
        <v>1100</v>
      </c>
      <c r="G121" s="1" t="s">
        <v>51</v>
      </c>
      <c r="H121" s="1" t="s">
        <v>25</v>
      </c>
      <c r="I121">
        <v>50</v>
      </c>
      <c r="J121" s="1" t="s">
        <v>238</v>
      </c>
      <c r="K121" s="1" t="s">
        <v>7</v>
      </c>
      <c r="L121" s="1" t="s">
        <v>8</v>
      </c>
      <c r="M121" s="1" t="s">
        <v>546</v>
      </c>
      <c r="N121">
        <v>110</v>
      </c>
      <c r="O121">
        <v>4</v>
      </c>
      <c r="P121" t="s">
        <v>1092</v>
      </c>
      <c r="Q121" s="1" t="s">
        <v>1097</v>
      </c>
    </row>
    <row r="122" spans="1:17" x14ac:dyDescent="0.25">
      <c r="A122" s="1" t="s">
        <v>777</v>
      </c>
      <c r="B122" s="1" t="s">
        <v>257</v>
      </c>
      <c r="C122" s="1" t="s">
        <v>6</v>
      </c>
      <c r="D122" s="2">
        <v>45826</v>
      </c>
      <c r="E122" s="2">
        <v>45830</v>
      </c>
      <c r="F122" s="1" t="s">
        <v>1085</v>
      </c>
      <c r="G122" s="1" t="s">
        <v>61</v>
      </c>
      <c r="H122" s="1" t="s">
        <v>29</v>
      </c>
      <c r="I122">
        <v>45</v>
      </c>
      <c r="J122" s="1" t="s">
        <v>238</v>
      </c>
      <c r="K122" s="1" t="s">
        <v>7</v>
      </c>
      <c r="L122" s="1" t="s">
        <v>8</v>
      </c>
      <c r="M122" s="1" t="s">
        <v>534</v>
      </c>
      <c r="N122">
        <v>70</v>
      </c>
      <c r="O122">
        <v>4</v>
      </c>
      <c r="P122" t="s">
        <v>1092</v>
      </c>
      <c r="Q122" s="1" t="s">
        <v>1102</v>
      </c>
    </row>
    <row r="123" spans="1:17" x14ac:dyDescent="0.25">
      <c r="A123" s="1" t="s">
        <v>676</v>
      </c>
      <c r="B123" s="1" t="s">
        <v>177</v>
      </c>
      <c r="C123" s="1" t="s">
        <v>6</v>
      </c>
      <c r="D123" s="2">
        <v>45721</v>
      </c>
      <c r="E123" s="2">
        <v>45725</v>
      </c>
      <c r="F123" s="1" t="s">
        <v>1103</v>
      </c>
      <c r="G123" s="1" t="s">
        <v>178</v>
      </c>
      <c r="H123" s="1" t="s">
        <v>25</v>
      </c>
      <c r="I123">
        <v>60</v>
      </c>
      <c r="J123" s="1" t="s">
        <v>168</v>
      </c>
      <c r="K123" s="1" t="s">
        <v>7</v>
      </c>
      <c r="L123" s="1" t="s">
        <v>8</v>
      </c>
      <c r="M123" s="1" t="s">
        <v>555</v>
      </c>
      <c r="N123">
        <v>340</v>
      </c>
      <c r="O123">
        <v>4</v>
      </c>
      <c r="P123" t="s">
        <v>1088</v>
      </c>
      <c r="Q123" s="1" t="s">
        <v>1090</v>
      </c>
    </row>
    <row r="124" spans="1:17" x14ac:dyDescent="0.25">
      <c r="A124" s="1" t="s">
        <v>717</v>
      </c>
      <c r="B124" s="1" t="s">
        <v>217</v>
      </c>
      <c r="C124" s="1" t="s">
        <v>6</v>
      </c>
      <c r="D124" s="2">
        <v>45922</v>
      </c>
      <c r="E124" s="2">
        <v>45926</v>
      </c>
      <c r="F124" s="1" t="s">
        <v>1103</v>
      </c>
      <c r="G124" s="1" t="s">
        <v>218</v>
      </c>
      <c r="H124" s="1" t="s">
        <v>25</v>
      </c>
      <c r="I124">
        <v>58</v>
      </c>
      <c r="J124" s="1" t="s">
        <v>168</v>
      </c>
      <c r="K124" s="1" t="s">
        <v>7</v>
      </c>
      <c r="L124" s="1" t="s">
        <v>8</v>
      </c>
      <c r="M124" s="1" t="s">
        <v>516</v>
      </c>
      <c r="N124">
        <v>340</v>
      </c>
      <c r="O124">
        <v>4</v>
      </c>
      <c r="P124" t="s">
        <v>1088</v>
      </c>
      <c r="Q124" s="1" t="s">
        <v>1107</v>
      </c>
    </row>
    <row r="125" spans="1:17" x14ac:dyDescent="0.25">
      <c r="A125" s="1" t="s">
        <v>731</v>
      </c>
      <c r="B125" s="1" t="s">
        <v>227</v>
      </c>
      <c r="C125" s="1" t="s">
        <v>6</v>
      </c>
      <c r="D125" s="2">
        <v>45969</v>
      </c>
      <c r="E125" s="2">
        <v>45973</v>
      </c>
      <c r="F125" s="1" t="s">
        <v>1082</v>
      </c>
      <c r="G125" s="1" t="s">
        <v>228</v>
      </c>
      <c r="H125" s="1" t="s">
        <v>29</v>
      </c>
      <c r="I125">
        <v>65</v>
      </c>
      <c r="J125" s="1" t="s">
        <v>168</v>
      </c>
      <c r="K125" s="1" t="s">
        <v>7</v>
      </c>
      <c r="L125" s="1" t="s">
        <v>8</v>
      </c>
      <c r="M125" s="1" t="s">
        <v>732</v>
      </c>
      <c r="N125">
        <v>115</v>
      </c>
      <c r="O125">
        <v>4</v>
      </c>
      <c r="P125" t="s">
        <v>1088</v>
      </c>
      <c r="Q125" s="1" t="s">
        <v>1109</v>
      </c>
    </row>
    <row r="126" spans="1:17" x14ac:dyDescent="0.25">
      <c r="A126" s="1" t="s">
        <v>696</v>
      </c>
      <c r="B126" s="1" t="s">
        <v>197</v>
      </c>
      <c r="C126" s="1" t="s">
        <v>6</v>
      </c>
      <c r="D126" s="2">
        <v>45826</v>
      </c>
      <c r="E126" s="2">
        <v>45830</v>
      </c>
      <c r="F126" s="1" t="s">
        <v>1100</v>
      </c>
      <c r="G126" s="1" t="s">
        <v>198</v>
      </c>
      <c r="H126" s="1" t="s">
        <v>25</v>
      </c>
      <c r="I126">
        <v>27</v>
      </c>
      <c r="J126" s="1" t="s">
        <v>168</v>
      </c>
      <c r="K126" s="1" t="s">
        <v>7</v>
      </c>
      <c r="L126" s="1" t="s">
        <v>8</v>
      </c>
      <c r="M126" s="1" t="s">
        <v>546</v>
      </c>
      <c r="N126">
        <v>110</v>
      </c>
      <c r="O126">
        <v>4</v>
      </c>
      <c r="P126" t="s">
        <v>1083</v>
      </c>
      <c r="Q126" s="1" t="s">
        <v>1102</v>
      </c>
    </row>
    <row r="127" spans="1:17" x14ac:dyDescent="0.25">
      <c r="A127" s="1" t="s">
        <v>706</v>
      </c>
      <c r="B127" s="1" t="s">
        <v>207</v>
      </c>
      <c r="C127" s="1" t="s">
        <v>6</v>
      </c>
      <c r="D127" s="2">
        <v>45873</v>
      </c>
      <c r="E127" s="2">
        <v>45876</v>
      </c>
      <c r="F127" s="1" t="s">
        <v>1082</v>
      </c>
      <c r="G127" s="1" t="s">
        <v>208</v>
      </c>
      <c r="H127" s="1" t="s">
        <v>29</v>
      </c>
      <c r="I127">
        <v>19</v>
      </c>
      <c r="J127" s="1" t="s">
        <v>168</v>
      </c>
      <c r="K127" s="1" t="s">
        <v>7</v>
      </c>
      <c r="L127" s="1" t="s">
        <v>8</v>
      </c>
      <c r="M127" s="1" t="s">
        <v>707</v>
      </c>
      <c r="N127">
        <v>120</v>
      </c>
      <c r="O127">
        <v>3</v>
      </c>
      <c r="P127" t="s">
        <v>1083</v>
      </c>
      <c r="Q127" s="1" t="s">
        <v>1106</v>
      </c>
    </row>
    <row r="128" spans="1:17" x14ac:dyDescent="0.25">
      <c r="A128" s="1" t="s">
        <v>666</v>
      </c>
      <c r="B128" s="1" t="s">
        <v>166</v>
      </c>
      <c r="C128" s="1" t="s">
        <v>6</v>
      </c>
      <c r="D128" s="2">
        <v>45669</v>
      </c>
      <c r="E128" s="2">
        <v>45673</v>
      </c>
      <c r="F128" s="1" t="s">
        <v>1085</v>
      </c>
      <c r="G128" s="1" t="s">
        <v>167</v>
      </c>
      <c r="H128" s="1" t="s">
        <v>29</v>
      </c>
      <c r="I128">
        <v>29</v>
      </c>
      <c r="J128" s="1" t="s">
        <v>168</v>
      </c>
      <c r="K128" s="1" t="s">
        <v>7</v>
      </c>
      <c r="L128" s="1" t="s">
        <v>8</v>
      </c>
      <c r="M128" s="1" t="s">
        <v>483</v>
      </c>
      <c r="N128">
        <v>85</v>
      </c>
      <c r="O128">
        <v>4</v>
      </c>
      <c r="P128" t="s">
        <v>1083</v>
      </c>
      <c r="Q128" s="1" t="s">
        <v>1084</v>
      </c>
    </row>
    <row r="129" spans="1:17" x14ac:dyDescent="0.25">
      <c r="A129" s="1" t="s">
        <v>686</v>
      </c>
      <c r="B129" s="1" t="s">
        <v>187</v>
      </c>
      <c r="C129" s="1" t="s">
        <v>6</v>
      </c>
      <c r="D129" s="2">
        <v>45776</v>
      </c>
      <c r="E129" s="2">
        <v>45780</v>
      </c>
      <c r="F129" s="1" t="s">
        <v>1085</v>
      </c>
      <c r="G129" s="1" t="s">
        <v>188</v>
      </c>
      <c r="H129" s="1" t="s">
        <v>29</v>
      </c>
      <c r="I129">
        <v>28</v>
      </c>
      <c r="J129" s="1" t="s">
        <v>168</v>
      </c>
      <c r="K129" s="1" t="s">
        <v>7</v>
      </c>
      <c r="L129" s="1" t="s">
        <v>8</v>
      </c>
      <c r="M129" s="1" t="s">
        <v>513</v>
      </c>
      <c r="N129">
        <v>80</v>
      </c>
      <c r="O129">
        <v>4</v>
      </c>
      <c r="P129" t="s">
        <v>1083</v>
      </c>
      <c r="Q129" s="1" t="s">
        <v>1094</v>
      </c>
    </row>
    <row r="130" spans="1:17" x14ac:dyDescent="0.25">
      <c r="A130" s="1" t="s">
        <v>785</v>
      </c>
      <c r="B130" s="1" t="s">
        <v>262</v>
      </c>
      <c r="C130" s="1" t="s">
        <v>6</v>
      </c>
      <c r="D130" s="2">
        <v>45866</v>
      </c>
      <c r="E130" s="2">
        <v>45870</v>
      </c>
      <c r="F130" s="1" t="s">
        <v>1100</v>
      </c>
      <c r="G130" s="1" t="s">
        <v>71</v>
      </c>
      <c r="H130" s="1" t="s">
        <v>25</v>
      </c>
      <c r="I130">
        <v>48</v>
      </c>
      <c r="J130" s="1" t="s">
        <v>238</v>
      </c>
      <c r="K130" s="1" t="s">
        <v>7</v>
      </c>
      <c r="L130" s="1" t="s">
        <v>8</v>
      </c>
      <c r="M130" s="1" t="s">
        <v>630</v>
      </c>
      <c r="N130">
        <v>110</v>
      </c>
      <c r="O130">
        <v>4</v>
      </c>
      <c r="P130" t="s">
        <v>1092</v>
      </c>
      <c r="Q130" s="1" t="s">
        <v>1105</v>
      </c>
    </row>
    <row r="131" spans="1:17" x14ac:dyDescent="0.25">
      <c r="A131" s="1" t="s">
        <v>757</v>
      </c>
      <c r="B131" s="1" t="s">
        <v>247</v>
      </c>
      <c r="C131" s="1" t="s">
        <v>6</v>
      </c>
      <c r="D131" s="2">
        <v>45736</v>
      </c>
      <c r="E131" s="2">
        <v>45740</v>
      </c>
      <c r="F131" s="1" t="s">
        <v>1095</v>
      </c>
      <c r="G131" s="1" t="s">
        <v>41</v>
      </c>
      <c r="H131" s="1" t="s">
        <v>29</v>
      </c>
      <c r="I131">
        <v>25</v>
      </c>
      <c r="J131" s="1" t="s">
        <v>238</v>
      </c>
      <c r="K131" s="1" t="s">
        <v>7</v>
      </c>
      <c r="L131" s="1" t="s">
        <v>8</v>
      </c>
      <c r="M131" s="1" t="s">
        <v>543</v>
      </c>
      <c r="N131">
        <v>210</v>
      </c>
      <c r="O131">
        <v>4</v>
      </c>
      <c r="P131" t="s">
        <v>1083</v>
      </c>
      <c r="Q131" s="1" t="s">
        <v>1090</v>
      </c>
    </row>
    <row r="132" spans="1:17" x14ac:dyDescent="0.25">
      <c r="A132" s="1" t="s">
        <v>795</v>
      </c>
      <c r="B132" s="1" t="s">
        <v>267</v>
      </c>
      <c r="C132" s="1" t="s">
        <v>6</v>
      </c>
      <c r="D132" s="2">
        <v>45905</v>
      </c>
      <c r="E132" s="2">
        <v>45909</v>
      </c>
      <c r="F132" s="1" t="s">
        <v>1089</v>
      </c>
      <c r="G132" s="1" t="s">
        <v>81</v>
      </c>
      <c r="H132" s="1" t="s">
        <v>29</v>
      </c>
      <c r="I132">
        <v>53</v>
      </c>
      <c r="J132" s="1" t="s">
        <v>238</v>
      </c>
      <c r="K132" s="1" t="s">
        <v>7</v>
      </c>
      <c r="L132" s="1" t="s">
        <v>8</v>
      </c>
      <c r="M132" s="1" t="s">
        <v>635</v>
      </c>
      <c r="N132">
        <v>95</v>
      </c>
      <c r="O132">
        <v>4</v>
      </c>
      <c r="P132" t="s">
        <v>1088</v>
      </c>
      <c r="Q132" s="1" t="s">
        <v>1107</v>
      </c>
    </row>
    <row r="133" spans="1:17" x14ac:dyDescent="0.25">
      <c r="A133" s="1" t="s">
        <v>747</v>
      </c>
      <c r="B133" s="1" t="s">
        <v>241</v>
      </c>
      <c r="C133" s="1" t="s">
        <v>6</v>
      </c>
      <c r="D133" s="2">
        <v>45691</v>
      </c>
      <c r="E133" s="2">
        <v>45695</v>
      </c>
      <c r="F133" s="1" t="s">
        <v>1089</v>
      </c>
      <c r="G133" s="1" t="s">
        <v>31</v>
      </c>
      <c r="H133" s="1" t="s">
        <v>25</v>
      </c>
      <c r="I133">
        <v>52</v>
      </c>
      <c r="J133" s="1" t="s">
        <v>238</v>
      </c>
      <c r="K133" s="1" t="s">
        <v>7</v>
      </c>
      <c r="L133" s="1" t="s">
        <v>8</v>
      </c>
      <c r="M133" s="1" t="s">
        <v>489</v>
      </c>
      <c r="N133">
        <v>60</v>
      </c>
      <c r="O133">
        <v>4</v>
      </c>
      <c r="P133" t="s">
        <v>1088</v>
      </c>
      <c r="Q133" s="1" t="s">
        <v>1086</v>
      </c>
    </row>
    <row r="134" spans="1:17" x14ac:dyDescent="0.25">
      <c r="A134" s="1" t="s">
        <v>588</v>
      </c>
      <c r="B134" s="1" t="s">
        <v>101</v>
      </c>
      <c r="C134" s="1" t="s">
        <v>6</v>
      </c>
      <c r="D134" s="2">
        <v>45702</v>
      </c>
      <c r="E134" s="2">
        <v>45706</v>
      </c>
      <c r="F134" s="1" t="s">
        <v>1089</v>
      </c>
      <c r="G134" s="1" t="s">
        <v>102</v>
      </c>
      <c r="H134" s="1" t="s">
        <v>29</v>
      </c>
      <c r="I134">
        <v>17</v>
      </c>
      <c r="J134" s="1" t="s">
        <v>98</v>
      </c>
      <c r="K134" s="1" t="s">
        <v>7</v>
      </c>
      <c r="L134" s="1" t="s">
        <v>8</v>
      </c>
      <c r="M134" s="1" t="s">
        <v>489</v>
      </c>
      <c r="N134">
        <v>60</v>
      </c>
      <c r="O134">
        <v>4</v>
      </c>
      <c r="P134" t="s">
        <v>1099</v>
      </c>
      <c r="Q134" s="1" t="s">
        <v>1086</v>
      </c>
    </row>
    <row r="135" spans="1:17" x14ac:dyDescent="0.25">
      <c r="A135" s="1" t="s">
        <v>809</v>
      </c>
      <c r="B135" s="1" t="s">
        <v>280</v>
      </c>
      <c r="C135" s="1" t="s">
        <v>6</v>
      </c>
      <c r="D135" s="2">
        <v>45717</v>
      </c>
      <c r="E135" s="2">
        <v>45721</v>
      </c>
      <c r="F135" s="1" t="s">
        <v>1103</v>
      </c>
      <c r="G135" s="1" t="s">
        <v>176</v>
      </c>
      <c r="H135" s="1" t="s">
        <v>29</v>
      </c>
      <c r="I135">
        <v>33</v>
      </c>
      <c r="J135" s="1" t="s">
        <v>271</v>
      </c>
      <c r="K135" s="1" t="s">
        <v>7</v>
      </c>
      <c r="L135" s="1" t="s">
        <v>8</v>
      </c>
      <c r="M135" s="1" t="s">
        <v>555</v>
      </c>
      <c r="N135">
        <v>340</v>
      </c>
      <c r="O135">
        <v>4</v>
      </c>
      <c r="P135" t="s">
        <v>1083</v>
      </c>
      <c r="Q135" s="1" t="s">
        <v>1090</v>
      </c>
    </row>
    <row r="136" spans="1:17" x14ac:dyDescent="0.25">
      <c r="A136" s="1" t="s">
        <v>836</v>
      </c>
      <c r="B136" s="1" t="s">
        <v>305</v>
      </c>
      <c r="C136" s="1" t="s">
        <v>6</v>
      </c>
      <c r="D136" s="2">
        <v>45847</v>
      </c>
      <c r="E136" s="2">
        <v>45851</v>
      </c>
      <c r="F136" s="1" t="s">
        <v>1087</v>
      </c>
      <c r="G136" s="1" t="s">
        <v>306</v>
      </c>
      <c r="H136" s="1" t="s">
        <v>25</v>
      </c>
      <c r="I136">
        <v>55</v>
      </c>
      <c r="J136" s="1" t="s">
        <v>271</v>
      </c>
      <c r="K136" s="1" t="s">
        <v>7</v>
      </c>
      <c r="L136" s="1" t="s">
        <v>8</v>
      </c>
      <c r="M136" s="1" t="s">
        <v>625</v>
      </c>
      <c r="N136">
        <v>190</v>
      </c>
      <c r="O136">
        <v>4</v>
      </c>
      <c r="P136" t="s">
        <v>1088</v>
      </c>
      <c r="Q136" s="1" t="s">
        <v>1105</v>
      </c>
    </row>
    <row r="137" spans="1:17" x14ac:dyDescent="0.25">
      <c r="A137" s="1" t="s">
        <v>846</v>
      </c>
      <c r="B137" s="1" t="s">
        <v>312</v>
      </c>
      <c r="C137" s="1" t="s">
        <v>6</v>
      </c>
      <c r="D137" s="2">
        <v>45888</v>
      </c>
      <c r="E137" s="2">
        <v>45892</v>
      </c>
      <c r="F137" s="1" t="s">
        <v>1085</v>
      </c>
      <c r="G137" s="1" t="s">
        <v>77</v>
      </c>
      <c r="H137" s="1" t="s">
        <v>29</v>
      </c>
      <c r="I137">
        <v>36</v>
      </c>
      <c r="J137" s="1" t="s">
        <v>271</v>
      </c>
      <c r="K137" s="1" t="s">
        <v>7</v>
      </c>
      <c r="L137" s="1" t="s">
        <v>8</v>
      </c>
      <c r="M137" s="1" t="s">
        <v>641</v>
      </c>
      <c r="N137">
        <v>80</v>
      </c>
      <c r="O137">
        <v>4</v>
      </c>
      <c r="P137" t="s">
        <v>1092</v>
      </c>
      <c r="Q137" s="1" t="s">
        <v>1106</v>
      </c>
    </row>
    <row r="138" spans="1:17" x14ac:dyDescent="0.25">
      <c r="A138" s="1" t="s">
        <v>817</v>
      </c>
      <c r="B138" s="1" t="s">
        <v>289</v>
      </c>
      <c r="C138" s="1" t="s">
        <v>6</v>
      </c>
      <c r="D138" s="2">
        <v>45762</v>
      </c>
      <c r="E138" s="2">
        <v>45766</v>
      </c>
      <c r="F138" s="1" t="s">
        <v>1085</v>
      </c>
      <c r="G138" s="1" t="s">
        <v>290</v>
      </c>
      <c r="H138" s="1" t="s">
        <v>25</v>
      </c>
      <c r="I138">
        <v>37</v>
      </c>
      <c r="J138" s="1" t="s">
        <v>271</v>
      </c>
      <c r="K138" s="1" t="s">
        <v>7</v>
      </c>
      <c r="L138" s="1" t="s">
        <v>8</v>
      </c>
      <c r="M138" s="1" t="s">
        <v>513</v>
      </c>
      <c r="N138">
        <v>80</v>
      </c>
      <c r="O138">
        <v>4</v>
      </c>
      <c r="P138" t="s">
        <v>1092</v>
      </c>
      <c r="Q138" s="1" t="s">
        <v>1094</v>
      </c>
    </row>
    <row r="139" spans="1:17" x14ac:dyDescent="0.25">
      <c r="A139" s="1" t="s">
        <v>799</v>
      </c>
      <c r="B139" s="1" t="s">
        <v>269</v>
      </c>
      <c r="C139" s="1" t="s">
        <v>6</v>
      </c>
      <c r="D139" s="2">
        <v>45667</v>
      </c>
      <c r="E139" s="2">
        <v>45671</v>
      </c>
      <c r="F139" s="1" t="s">
        <v>1085</v>
      </c>
      <c r="G139" s="1" t="s">
        <v>270</v>
      </c>
      <c r="H139" s="1" t="s">
        <v>25</v>
      </c>
      <c r="I139">
        <v>34</v>
      </c>
      <c r="J139" s="1" t="s">
        <v>271</v>
      </c>
      <c r="K139" s="1" t="s">
        <v>7</v>
      </c>
      <c r="L139" s="1" t="s">
        <v>8</v>
      </c>
      <c r="M139" s="1" t="s">
        <v>483</v>
      </c>
      <c r="N139">
        <v>85</v>
      </c>
      <c r="O139">
        <v>4</v>
      </c>
      <c r="P139" t="s">
        <v>1083</v>
      </c>
      <c r="Q139" s="1" t="s">
        <v>1084</v>
      </c>
    </row>
    <row r="140" spans="1:17" x14ac:dyDescent="0.25">
      <c r="A140" s="1" t="s">
        <v>902</v>
      </c>
      <c r="B140" s="1" t="s">
        <v>370</v>
      </c>
      <c r="C140" s="1" t="s">
        <v>6</v>
      </c>
      <c r="D140" s="2">
        <v>45911</v>
      </c>
      <c r="E140" s="2">
        <v>45915</v>
      </c>
      <c r="F140" s="1" t="s">
        <v>1087</v>
      </c>
      <c r="G140" s="1" t="s">
        <v>371</v>
      </c>
      <c r="H140" s="1" t="s">
        <v>29</v>
      </c>
      <c r="I140">
        <v>65</v>
      </c>
      <c r="J140" s="1" t="s">
        <v>315</v>
      </c>
      <c r="K140" s="1" t="s">
        <v>7</v>
      </c>
      <c r="L140" s="1" t="s">
        <v>8</v>
      </c>
      <c r="M140" s="1" t="s">
        <v>653</v>
      </c>
      <c r="N140">
        <v>180</v>
      </c>
      <c r="O140">
        <v>4</v>
      </c>
      <c r="P140" t="s">
        <v>1088</v>
      </c>
      <c r="Q140" s="1" t="s">
        <v>1107</v>
      </c>
    </row>
    <row r="141" spans="1:17" x14ac:dyDescent="0.25">
      <c r="A141" s="1" t="s">
        <v>884</v>
      </c>
      <c r="B141" s="1" t="s">
        <v>352</v>
      </c>
      <c r="C141" s="1" t="s">
        <v>6</v>
      </c>
      <c r="D141" s="2">
        <v>45831</v>
      </c>
      <c r="E141" s="2">
        <v>45835</v>
      </c>
      <c r="F141" s="1" t="s">
        <v>1087</v>
      </c>
      <c r="G141" s="1" t="s">
        <v>353</v>
      </c>
      <c r="H141" s="1" t="s">
        <v>29</v>
      </c>
      <c r="I141">
        <v>19</v>
      </c>
      <c r="J141" s="1" t="s">
        <v>315</v>
      </c>
      <c r="K141" s="1" t="s">
        <v>7</v>
      </c>
      <c r="L141" s="1" t="s">
        <v>8</v>
      </c>
      <c r="M141" s="1" t="s">
        <v>625</v>
      </c>
      <c r="N141">
        <v>190</v>
      </c>
      <c r="O141">
        <v>4</v>
      </c>
      <c r="P141" t="s">
        <v>1083</v>
      </c>
      <c r="Q141" s="1" t="s">
        <v>1102</v>
      </c>
    </row>
    <row r="142" spans="1:17" x14ac:dyDescent="0.25">
      <c r="A142" s="1" t="s">
        <v>848</v>
      </c>
      <c r="B142" s="1" t="s">
        <v>313</v>
      </c>
      <c r="C142" s="1" t="s">
        <v>6</v>
      </c>
      <c r="D142" s="2">
        <v>45665</v>
      </c>
      <c r="E142" s="2">
        <v>45669</v>
      </c>
      <c r="F142" s="1" t="s">
        <v>1085</v>
      </c>
      <c r="G142" s="1" t="s">
        <v>314</v>
      </c>
      <c r="H142" s="1" t="s">
        <v>29</v>
      </c>
      <c r="I142">
        <v>28</v>
      </c>
      <c r="J142" s="1" t="s">
        <v>315</v>
      </c>
      <c r="K142" s="1" t="s">
        <v>7</v>
      </c>
      <c r="L142" s="1" t="s">
        <v>8</v>
      </c>
      <c r="M142" s="1" t="s">
        <v>483</v>
      </c>
      <c r="N142">
        <v>85</v>
      </c>
      <c r="O142">
        <v>4</v>
      </c>
      <c r="P142" t="s">
        <v>1083</v>
      </c>
      <c r="Q142" s="1" t="s">
        <v>1084</v>
      </c>
    </row>
    <row r="143" spans="1:17" x14ac:dyDescent="0.25">
      <c r="A143" s="1" t="s">
        <v>1114</v>
      </c>
      <c r="B143" s="1" t="s">
        <v>147</v>
      </c>
      <c r="C143" s="1" t="s">
        <v>6</v>
      </c>
      <c r="D143" s="2">
        <v>45871</v>
      </c>
      <c r="E143" s="2">
        <v>45875</v>
      </c>
      <c r="F143" s="1" t="s">
        <v>1103</v>
      </c>
      <c r="G143" s="1" t="s">
        <v>148</v>
      </c>
      <c r="H143" s="1" t="s">
        <v>25</v>
      </c>
      <c r="I143">
        <v>60</v>
      </c>
      <c r="J143" s="1" t="s">
        <v>98</v>
      </c>
      <c r="K143" s="1" t="s">
        <v>7</v>
      </c>
      <c r="L143" s="1" t="s">
        <v>8</v>
      </c>
      <c r="M143" s="1"/>
      <c r="O143">
        <v>4</v>
      </c>
      <c r="P143" t="s">
        <v>1088</v>
      </c>
      <c r="Q143" s="1" t="s">
        <v>1106</v>
      </c>
    </row>
    <row r="144" spans="1:17" x14ac:dyDescent="0.25">
      <c r="A144" s="1" t="s">
        <v>874</v>
      </c>
      <c r="B144" s="1" t="s">
        <v>342</v>
      </c>
      <c r="C144" s="1" t="s">
        <v>6</v>
      </c>
      <c r="D144" s="2">
        <v>45791</v>
      </c>
      <c r="E144" s="2">
        <v>45795</v>
      </c>
      <c r="F144" s="1" t="s">
        <v>1082</v>
      </c>
      <c r="G144" s="1" t="s">
        <v>343</v>
      </c>
      <c r="H144" s="1" t="s">
        <v>25</v>
      </c>
      <c r="I144">
        <v>27</v>
      </c>
      <c r="J144" s="1" t="s">
        <v>315</v>
      </c>
      <c r="K144" s="1" t="s">
        <v>7</v>
      </c>
      <c r="L144" s="1" t="s">
        <v>8</v>
      </c>
      <c r="M144" s="1" t="s">
        <v>567</v>
      </c>
      <c r="N144">
        <v>115</v>
      </c>
      <c r="O144">
        <v>4</v>
      </c>
      <c r="P144" t="s">
        <v>1083</v>
      </c>
      <c r="Q144" s="1" t="s">
        <v>1097</v>
      </c>
    </row>
    <row r="145" spans="1:17" x14ac:dyDescent="0.25">
      <c r="A145" s="1" t="s">
        <v>866</v>
      </c>
      <c r="B145" s="1" t="s">
        <v>332</v>
      </c>
      <c r="C145" s="1" t="s">
        <v>6</v>
      </c>
      <c r="D145" s="2">
        <v>45749</v>
      </c>
      <c r="E145" s="2">
        <v>45753</v>
      </c>
      <c r="F145" s="1" t="s">
        <v>1085</v>
      </c>
      <c r="G145" s="1" t="s">
        <v>333</v>
      </c>
      <c r="H145" s="1" t="s">
        <v>29</v>
      </c>
      <c r="I145">
        <v>28</v>
      </c>
      <c r="J145" s="1" t="s">
        <v>315</v>
      </c>
      <c r="K145" s="1" t="s">
        <v>7</v>
      </c>
      <c r="L145" s="1" t="s">
        <v>8</v>
      </c>
      <c r="M145" s="1" t="s">
        <v>513</v>
      </c>
      <c r="N145">
        <v>80</v>
      </c>
      <c r="O145">
        <v>4</v>
      </c>
      <c r="P145" t="s">
        <v>1083</v>
      </c>
      <c r="Q145" s="1" t="s">
        <v>1094</v>
      </c>
    </row>
    <row r="146" spans="1:17" x14ac:dyDescent="0.25">
      <c r="A146" s="1" t="s">
        <v>657</v>
      </c>
      <c r="B146" s="1" t="s">
        <v>160</v>
      </c>
      <c r="C146" s="1" t="s">
        <v>6</v>
      </c>
      <c r="D146" s="2">
        <v>46011</v>
      </c>
      <c r="E146" s="2">
        <v>46015</v>
      </c>
      <c r="F146" s="1" t="s">
        <v>1095</v>
      </c>
      <c r="G146" s="1" t="s">
        <v>161</v>
      </c>
      <c r="H146" s="1" t="s">
        <v>29</v>
      </c>
      <c r="I146">
        <v>34</v>
      </c>
      <c r="J146" s="1" t="s">
        <v>98</v>
      </c>
      <c r="K146" s="1" t="s">
        <v>7</v>
      </c>
      <c r="L146" s="1" t="s">
        <v>8</v>
      </c>
      <c r="M146" s="1" t="s">
        <v>658</v>
      </c>
      <c r="N146">
        <v>140</v>
      </c>
      <c r="O146">
        <v>4</v>
      </c>
      <c r="P146" t="s">
        <v>1083</v>
      </c>
      <c r="Q146" s="1" t="s">
        <v>1110</v>
      </c>
    </row>
    <row r="147" spans="1:17" x14ac:dyDescent="0.25">
      <c r="A147" s="1" t="s">
        <v>961</v>
      </c>
      <c r="B147" s="1" t="s">
        <v>408</v>
      </c>
      <c r="C147" s="1" t="s">
        <v>6</v>
      </c>
      <c r="D147" s="2">
        <v>45887</v>
      </c>
      <c r="E147" s="2">
        <v>45891</v>
      </c>
      <c r="F147" s="1" t="s">
        <v>1104</v>
      </c>
      <c r="G147" s="1" t="s">
        <v>222</v>
      </c>
      <c r="H147" s="1" t="s">
        <v>25</v>
      </c>
      <c r="I147">
        <v>43</v>
      </c>
      <c r="J147" s="1" t="s">
        <v>376</v>
      </c>
      <c r="K147" s="1" t="s">
        <v>7</v>
      </c>
      <c r="L147" s="1" t="s">
        <v>8</v>
      </c>
      <c r="M147" s="1" t="s">
        <v>737</v>
      </c>
      <c r="N147">
        <v>70</v>
      </c>
      <c r="O147">
        <v>4</v>
      </c>
      <c r="P147" t="s">
        <v>1092</v>
      </c>
      <c r="Q147" s="1" t="s">
        <v>1106</v>
      </c>
    </row>
    <row r="148" spans="1:17" x14ac:dyDescent="0.25">
      <c r="A148" s="1" t="s">
        <v>920</v>
      </c>
      <c r="B148" s="1" t="s">
        <v>385</v>
      </c>
      <c r="C148" s="1" t="s">
        <v>6</v>
      </c>
      <c r="D148" s="2">
        <v>45724</v>
      </c>
      <c r="E148" s="2">
        <v>45728</v>
      </c>
      <c r="F148" s="1" t="s">
        <v>1095</v>
      </c>
      <c r="G148" s="1" t="s">
        <v>186</v>
      </c>
      <c r="H148" s="1" t="s">
        <v>25</v>
      </c>
      <c r="I148">
        <v>45</v>
      </c>
      <c r="J148" s="1" t="s">
        <v>376</v>
      </c>
      <c r="K148" s="1" t="s">
        <v>7</v>
      </c>
      <c r="L148" s="1" t="s">
        <v>8</v>
      </c>
      <c r="M148" s="1" t="s">
        <v>543</v>
      </c>
      <c r="N148">
        <v>210</v>
      </c>
      <c r="O148">
        <v>4</v>
      </c>
      <c r="P148" t="s">
        <v>1092</v>
      </c>
      <c r="Q148" s="1" t="s">
        <v>1090</v>
      </c>
    </row>
    <row r="149" spans="1:17" x14ac:dyDescent="0.25">
      <c r="A149" s="1" t="s">
        <v>940</v>
      </c>
      <c r="B149" s="1" t="s">
        <v>398</v>
      </c>
      <c r="C149" s="1" t="s">
        <v>6</v>
      </c>
      <c r="D149" s="2">
        <v>45807</v>
      </c>
      <c r="E149" s="2">
        <v>45811</v>
      </c>
      <c r="F149" s="1" t="s">
        <v>1085</v>
      </c>
      <c r="G149" s="1" t="s">
        <v>202</v>
      </c>
      <c r="H149" s="1" t="s">
        <v>25</v>
      </c>
      <c r="I149">
        <v>38</v>
      </c>
      <c r="J149" s="1" t="s">
        <v>376</v>
      </c>
      <c r="K149" s="1" t="s">
        <v>7</v>
      </c>
      <c r="L149" s="1" t="s">
        <v>8</v>
      </c>
      <c r="M149" s="1" t="s">
        <v>534</v>
      </c>
      <c r="N149">
        <v>70</v>
      </c>
      <c r="O149">
        <v>4</v>
      </c>
      <c r="P149" t="s">
        <v>1092</v>
      </c>
      <c r="Q149" s="1" t="s">
        <v>1097</v>
      </c>
    </row>
    <row r="150" spans="1:17" x14ac:dyDescent="0.25">
      <c r="A150" s="1" t="s">
        <v>968</v>
      </c>
      <c r="B150" s="1" t="s">
        <v>413</v>
      </c>
      <c r="C150" s="1" t="s">
        <v>6</v>
      </c>
      <c r="D150" s="2">
        <v>45927</v>
      </c>
      <c r="E150" s="2">
        <v>45931</v>
      </c>
      <c r="F150" s="1" t="s">
        <v>1091</v>
      </c>
      <c r="G150" s="1" t="s">
        <v>232</v>
      </c>
      <c r="H150" s="1" t="s">
        <v>29</v>
      </c>
      <c r="I150">
        <v>30</v>
      </c>
      <c r="J150" s="1" t="s">
        <v>376</v>
      </c>
      <c r="K150" s="1" t="s">
        <v>7</v>
      </c>
      <c r="L150" s="1" t="s">
        <v>8</v>
      </c>
      <c r="M150" s="1" t="s">
        <v>661</v>
      </c>
      <c r="N150">
        <v>310</v>
      </c>
      <c r="O150">
        <v>4</v>
      </c>
      <c r="P150" t="s">
        <v>1083</v>
      </c>
      <c r="Q150" s="1" t="s">
        <v>1107</v>
      </c>
    </row>
    <row r="151" spans="1:17" x14ac:dyDescent="0.25">
      <c r="A151" s="1" t="s">
        <v>950</v>
      </c>
      <c r="B151" s="1" t="s">
        <v>403</v>
      </c>
      <c r="C151" s="1" t="s">
        <v>6</v>
      </c>
      <c r="D151" s="2">
        <v>45847</v>
      </c>
      <c r="E151" s="2">
        <v>45851</v>
      </c>
      <c r="F151" s="1" t="s">
        <v>1085</v>
      </c>
      <c r="G151" s="1" t="s">
        <v>212</v>
      </c>
      <c r="H151" s="1" t="s">
        <v>29</v>
      </c>
      <c r="I151">
        <v>34</v>
      </c>
      <c r="J151" s="1" t="s">
        <v>376</v>
      </c>
      <c r="K151" s="1" t="s">
        <v>7</v>
      </c>
      <c r="L151" s="1" t="s">
        <v>8</v>
      </c>
      <c r="M151" s="1" t="s">
        <v>641</v>
      </c>
      <c r="N151">
        <v>80</v>
      </c>
      <c r="O151">
        <v>4</v>
      </c>
      <c r="P151" t="s">
        <v>1083</v>
      </c>
      <c r="Q151" s="1" t="s">
        <v>1105</v>
      </c>
    </row>
    <row r="152" spans="1:17" x14ac:dyDescent="0.25">
      <c r="A152" s="1" t="s">
        <v>930</v>
      </c>
      <c r="B152" s="1" t="s">
        <v>391</v>
      </c>
      <c r="C152" s="1" t="s">
        <v>6</v>
      </c>
      <c r="D152" s="2">
        <v>45765</v>
      </c>
      <c r="E152" s="2">
        <v>45769</v>
      </c>
      <c r="F152" s="1" t="s">
        <v>1103</v>
      </c>
      <c r="G152" s="1" t="s">
        <v>192</v>
      </c>
      <c r="H152" s="1" t="s">
        <v>29</v>
      </c>
      <c r="I152">
        <v>16</v>
      </c>
      <c r="J152" s="1" t="s">
        <v>376</v>
      </c>
      <c r="K152" s="1" t="s">
        <v>7</v>
      </c>
      <c r="L152" s="1" t="s">
        <v>8</v>
      </c>
      <c r="M152" s="1" t="s">
        <v>638</v>
      </c>
      <c r="N152">
        <v>330</v>
      </c>
      <c r="O152">
        <v>4</v>
      </c>
      <c r="P152" t="s">
        <v>1099</v>
      </c>
      <c r="Q152" s="1" t="s">
        <v>1094</v>
      </c>
    </row>
    <row r="153" spans="1:17" x14ac:dyDescent="0.25">
      <c r="A153" s="1" t="s">
        <v>910</v>
      </c>
      <c r="B153" s="1" t="s">
        <v>378</v>
      </c>
      <c r="C153" s="1" t="s">
        <v>6</v>
      </c>
      <c r="D153" s="2">
        <v>45682</v>
      </c>
      <c r="E153" s="2">
        <v>45686</v>
      </c>
      <c r="F153" s="1" t="s">
        <v>1089</v>
      </c>
      <c r="G153" s="1" t="s">
        <v>379</v>
      </c>
      <c r="H153" s="1" t="s">
        <v>29</v>
      </c>
      <c r="I153">
        <v>19</v>
      </c>
      <c r="J153" s="1" t="s">
        <v>376</v>
      </c>
      <c r="K153" s="1" t="s">
        <v>7</v>
      </c>
      <c r="L153" s="1" t="s">
        <v>8</v>
      </c>
      <c r="M153" s="1" t="s">
        <v>489</v>
      </c>
      <c r="N153">
        <v>60</v>
      </c>
      <c r="O153">
        <v>4</v>
      </c>
      <c r="P153" t="s">
        <v>1083</v>
      </c>
      <c r="Q153" s="1" t="s">
        <v>1084</v>
      </c>
    </row>
    <row r="154" spans="1:17" x14ac:dyDescent="0.25">
      <c r="A154" s="1" t="s">
        <v>618</v>
      </c>
      <c r="B154" s="1" t="s">
        <v>131</v>
      </c>
      <c r="C154" s="1" t="s">
        <v>6</v>
      </c>
      <c r="D154" s="2">
        <v>45872</v>
      </c>
      <c r="E154" s="2">
        <v>45876</v>
      </c>
      <c r="F154" s="1" t="s">
        <v>1085</v>
      </c>
      <c r="G154" s="1" t="s">
        <v>132</v>
      </c>
      <c r="H154" s="1" t="s">
        <v>25</v>
      </c>
      <c r="I154">
        <v>48</v>
      </c>
      <c r="J154" s="1" t="s">
        <v>98</v>
      </c>
      <c r="K154" s="1" t="s">
        <v>7</v>
      </c>
      <c r="L154" s="1" t="s">
        <v>8</v>
      </c>
      <c r="M154" s="1" t="s">
        <v>534</v>
      </c>
      <c r="N154">
        <v>70</v>
      </c>
      <c r="O154">
        <v>4</v>
      </c>
      <c r="P154" t="s">
        <v>1092</v>
      </c>
      <c r="Q154" s="1" t="s">
        <v>1106</v>
      </c>
    </row>
    <row r="155" spans="1:17" x14ac:dyDescent="0.25">
      <c r="A155" s="1" t="s">
        <v>598</v>
      </c>
      <c r="B155" s="1" t="s">
        <v>111</v>
      </c>
      <c r="C155" s="1" t="s">
        <v>6</v>
      </c>
      <c r="D155" s="2">
        <v>45762</v>
      </c>
      <c r="E155" s="2">
        <v>45766</v>
      </c>
      <c r="F155" s="1" t="s">
        <v>1095</v>
      </c>
      <c r="G155" s="1" t="s">
        <v>112</v>
      </c>
      <c r="H155" s="1" t="s">
        <v>25</v>
      </c>
      <c r="I155">
        <v>45</v>
      </c>
      <c r="J155" s="1" t="s">
        <v>98</v>
      </c>
      <c r="K155" s="1" t="s">
        <v>7</v>
      </c>
      <c r="L155" s="1" t="s">
        <v>8</v>
      </c>
      <c r="M155" s="1" t="s">
        <v>543</v>
      </c>
      <c r="N155">
        <v>210</v>
      </c>
      <c r="O155">
        <v>4</v>
      </c>
      <c r="P155" t="s">
        <v>1092</v>
      </c>
      <c r="Q155" s="1" t="s">
        <v>1094</v>
      </c>
    </row>
    <row r="156" spans="1:17" x14ac:dyDescent="0.25">
      <c r="A156" s="1" t="s">
        <v>982</v>
      </c>
      <c r="B156" s="1" t="s">
        <v>425</v>
      </c>
      <c r="C156" s="1" t="s">
        <v>6</v>
      </c>
      <c r="D156" s="2">
        <v>45712</v>
      </c>
      <c r="E156" s="2">
        <v>45716</v>
      </c>
      <c r="F156" s="1" t="s">
        <v>1103</v>
      </c>
      <c r="G156" s="1" t="s">
        <v>426</v>
      </c>
      <c r="H156" s="1" t="s">
        <v>29</v>
      </c>
      <c r="I156">
        <v>33</v>
      </c>
      <c r="J156" s="1" t="s">
        <v>417</v>
      </c>
      <c r="K156" s="1" t="s">
        <v>7</v>
      </c>
      <c r="L156" s="1" t="s">
        <v>8</v>
      </c>
      <c r="M156" s="1" t="s">
        <v>555</v>
      </c>
      <c r="N156">
        <v>340</v>
      </c>
      <c r="O156">
        <v>4</v>
      </c>
      <c r="P156" t="s">
        <v>1083</v>
      </c>
      <c r="Q156" s="1" t="s">
        <v>1086</v>
      </c>
    </row>
    <row r="157" spans="1:17" x14ac:dyDescent="0.25">
      <c r="A157" s="1" t="s">
        <v>1009</v>
      </c>
      <c r="B157" s="1" t="s">
        <v>441</v>
      </c>
      <c r="C157" s="1" t="s">
        <v>6</v>
      </c>
      <c r="D157" s="2">
        <v>45847</v>
      </c>
      <c r="E157" s="2">
        <v>45851</v>
      </c>
      <c r="F157" s="1" t="s">
        <v>1087</v>
      </c>
      <c r="G157" s="1" t="s">
        <v>67</v>
      </c>
      <c r="H157" s="1" t="s">
        <v>25</v>
      </c>
      <c r="I157">
        <v>55</v>
      </c>
      <c r="J157" s="1" t="s">
        <v>417</v>
      </c>
      <c r="K157" s="1" t="s">
        <v>7</v>
      </c>
      <c r="L157" s="1" t="s">
        <v>8</v>
      </c>
      <c r="M157" s="1" t="s">
        <v>625</v>
      </c>
      <c r="N157">
        <v>190</v>
      </c>
      <c r="O157">
        <v>4</v>
      </c>
      <c r="P157" t="s">
        <v>1088</v>
      </c>
      <c r="Q157" s="1" t="s">
        <v>1105</v>
      </c>
    </row>
    <row r="158" spans="1:17" x14ac:dyDescent="0.25">
      <c r="A158" s="1" t="s">
        <v>1019</v>
      </c>
      <c r="B158" s="1" t="s">
        <v>446</v>
      </c>
      <c r="C158" s="1" t="s">
        <v>6</v>
      </c>
      <c r="D158" s="2">
        <v>45892</v>
      </c>
      <c r="E158" s="2">
        <v>45896</v>
      </c>
      <c r="F158" s="1" t="s">
        <v>1103</v>
      </c>
      <c r="G158" s="1" t="s">
        <v>77</v>
      </c>
      <c r="H158" s="1" t="s">
        <v>29</v>
      </c>
      <c r="I158">
        <v>36</v>
      </c>
      <c r="J158" s="1" t="s">
        <v>417</v>
      </c>
      <c r="K158" s="1" t="s">
        <v>7</v>
      </c>
      <c r="L158" s="1" t="s">
        <v>8</v>
      </c>
      <c r="M158" s="1" t="s">
        <v>957</v>
      </c>
      <c r="N158">
        <v>330</v>
      </c>
      <c r="O158">
        <v>4</v>
      </c>
      <c r="P158" t="s">
        <v>1092</v>
      </c>
      <c r="Q158" s="1" t="s">
        <v>1106</v>
      </c>
    </row>
    <row r="159" spans="1:17" x14ac:dyDescent="0.25">
      <c r="A159" s="1" t="s">
        <v>999</v>
      </c>
      <c r="B159" s="1" t="s">
        <v>436</v>
      </c>
      <c r="C159" s="1" t="s">
        <v>6</v>
      </c>
      <c r="D159" s="2">
        <v>45802</v>
      </c>
      <c r="E159" s="2">
        <v>45806</v>
      </c>
      <c r="F159" s="1" t="s">
        <v>1082</v>
      </c>
      <c r="G159" s="1" t="s">
        <v>57</v>
      </c>
      <c r="H159" s="1" t="s">
        <v>29</v>
      </c>
      <c r="I159">
        <v>38</v>
      </c>
      <c r="J159" s="1" t="s">
        <v>417</v>
      </c>
      <c r="K159" s="1" t="s">
        <v>7</v>
      </c>
      <c r="L159" s="1" t="s">
        <v>8</v>
      </c>
      <c r="M159" s="1" t="s">
        <v>567</v>
      </c>
      <c r="N159">
        <v>115</v>
      </c>
      <c r="O159">
        <v>4</v>
      </c>
      <c r="P159" t="s">
        <v>1092</v>
      </c>
      <c r="Q159" s="1" t="s">
        <v>1097</v>
      </c>
    </row>
    <row r="160" spans="1:17" x14ac:dyDescent="0.25">
      <c r="A160" s="1" t="s">
        <v>972</v>
      </c>
      <c r="B160" s="1" t="s">
        <v>415</v>
      </c>
      <c r="C160" s="1" t="s">
        <v>6</v>
      </c>
      <c r="D160" s="2">
        <v>45666</v>
      </c>
      <c r="E160" s="2">
        <v>45670</v>
      </c>
      <c r="F160" s="1" t="s">
        <v>1085</v>
      </c>
      <c r="G160" s="1" t="s">
        <v>416</v>
      </c>
      <c r="H160" s="1" t="s">
        <v>25</v>
      </c>
      <c r="I160">
        <v>34</v>
      </c>
      <c r="J160" s="1" t="s">
        <v>417</v>
      </c>
      <c r="K160" s="1" t="s">
        <v>7</v>
      </c>
      <c r="L160" s="1" t="s">
        <v>8</v>
      </c>
      <c r="M160" s="1" t="s">
        <v>483</v>
      </c>
      <c r="N160">
        <v>85</v>
      </c>
      <c r="O160">
        <v>4</v>
      </c>
      <c r="P160" t="s">
        <v>1083</v>
      </c>
      <c r="Q160" s="1" t="s">
        <v>1084</v>
      </c>
    </row>
    <row r="161" spans="1:17" x14ac:dyDescent="0.25">
      <c r="A161" s="1" t="s">
        <v>991</v>
      </c>
      <c r="B161" s="1" t="s">
        <v>431</v>
      </c>
      <c r="C161" s="1" t="s">
        <v>6</v>
      </c>
      <c r="D161" s="2">
        <v>45757</v>
      </c>
      <c r="E161" s="2">
        <v>45761</v>
      </c>
      <c r="F161" s="1" t="s">
        <v>1085</v>
      </c>
      <c r="G161" s="1" t="s">
        <v>47</v>
      </c>
      <c r="H161" s="1" t="s">
        <v>25</v>
      </c>
      <c r="I161">
        <v>37</v>
      </c>
      <c r="J161" s="1" t="s">
        <v>417</v>
      </c>
      <c r="K161" s="1" t="s">
        <v>7</v>
      </c>
      <c r="L161" s="1" t="s">
        <v>8</v>
      </c>
      <c r="M161" s="1" t="s">
        <v>513</v>
      </c>
      <c r="N161">
        <v>80</v>
      </c>
      <c r="O161">
        <v>4</v>
      </c>
      <c r="P161" t="s">
        <v>1092</v>
      </c>
      <c r="Q161" s="1" t="s">
        <v>1094</v>
      </c>
    </row>
    <row r="162" spans="1:17" x14ac:dyDescent="0.25">
      <c r="A162" s="1" t="s">
        <v>629</v>
      </c>
      <c r="B162" s="1" t="s">
        <v>141</v>
      </c>
      <c r="C162" s="1" t="s">
        <v>6</v>
      </c>
      <c r="D162" s="2">
        <v>45930</v>
      </c>
      <c r="E162" s="2">
        <v>45934</v>
      </c>
      <c r="F162" s="1" t="s">
        <v>1100</v>
      </c>
      <c r="G162" s="1" t="s">
        <v>142</v>
      </c>
      <c r="H162" s="1" t="s">
        <v>29</v>
      </c>
      <c r="I162">
        <v>37</v>
      </c>
      <c r="J162" s="1" t="s">
        <v>98</v>
      </c>
      <c r="K162" s="1" t="s">
        <v>7</v>
      </c>
      <c r="L162" s="1" t="s">
        <v>8</v>
      </c>
      <c r="M162" s="1" t="s">
        <v>630</v>
      </c>
      <c r="N162">
        <v>110</v>
      </c>
      <c r="O162">
        <v>4</v>
      </c>
      <c r="P162" t="s">
        <v>1092</v>
      </c>
      <c r="Q162" s="1" t="s">
        <v>1107</v>
      </c>
    </row>
    <row r="163" spans="1:17" x14ac:dyDescent="0.25">
      <c r="A163" s="1" t="s">
        <v>1059</v>
      </c>
      <c r="B163" s="1" t="s">
        <v>470</v>
      </c>
      <c r="C163" s="1" t="s">
        <v>6</v>
      </c>
      <c r="D163" s="2">
        <v>45823</v>
      </c>
      <c r="E163" s="2">
        <v>45827</v>
      </c>
      <c r="F163" s="1" t="s">
        <v>1087</v>
      </c>
      <c r="G163" s="1" t="s">
        <v>67</v>
      </c>
      <c r="H163" s="1" t="s">
        <v>25</v>
      </c>
      <c r="I163">
        <v>55</v>
      </c>
      <c r="J163" s="1" t="s">
        <v>449</v>
      </c>
      <c r="K163" s="1" t="s">
        <v>7</v>
      </c>
      <c r="L163" s="1" t="s">
        <v>8</v>
      </c>
      <c r="M163" s="1" t="s">
        <v>625</v>
      </c>
      <c r="N163">
        <v>190</v>
      </c>
      <c r="O163">
        <v>4</v>
      </c>
      <c r="P163" t="s">
        <v>1088</v>
      </c>
      <c r="Q163" s="1" t="s">
        <v>1102</v>
      </c>
    </row>
    <row r="164" spans="1:17" x14ac:dyDescent="0.25">
      <c r="A164" s="1" t="s">
        <v>1031</v>
      </c>
      <c r="B164" s="1" t="s">
        <v>455</v>
      </c>
      <c r="C164" s="1" t="s">
        <v>6</v>
      </c>
      <c r="D164" s="2">
        <v>45703</v>
      </c>
      <c r="E164" s="2">
        <v>45707</v>
      </c>
      <c r="F164" s="1" t="s">
        <v>1103</v>
      </c>
      <c r="G164" s="1" t="s">
        <v>426</v>
      </c>
      <c r="H164" s="1" t="s">
        <v>29</v>
      </c>
      <c r="I164">
        <v>33</v>
      </c>
      <c r="J164" s="1" t="s">
        <v>449</v>
      </c>
      <c r="K164" s="1" t="s">
        <v>7</v>
      </c>
      <c r="L164" s="1" t="s">
        <v>8</v>
      </c>
      <c r="M164" s="1" t="s">
        <v>555</v>
      </c>
      <c r="N164">
        <v>340</v>
      </c>
      <c r="O164">
        <v>4</v>
      </c>
      <c r="P164" t="s">
        <v>1083</v>
      </c>
      <c r="Q164" s="1" t="s">
        <v>1086</v>
      </c>
    </row>
    <row r="165" spans="1:17" x14ac:dyDescent="0.25">
      <c r="A165" s="1" t="s">
        <v>1051</v>
      </c>
      <c r="B165" s="1" t="s">
        <v>465</v>
      </c>
      <c r="C165" s="1" t="s">
        <v>6</v>
      </c>
      <c r="D165" s="2">
        <v>45783</v>
      </c>
      <c r="E165" s="2">
        <v>45787</v>
      </c>
      <c r="F165" s="1" t="s">
        <v>1082</v>
      </c>
      <c r="G165" s="1" t="s">
        <v>57</v>
      </c>
      <c r="H165" s="1" t="s">
        <v>29</v>
      </c>
      <c r="I165">
        <v>38</v>
      </c>
      <c r="J165" s="1" t="s">
        <v>449</v>
      </c>
      <c r="K165" s="1" t="s">
        <v>7</v>
      </c>
      <c r="L165" s="1" t="s">
        <v>8</v>
      </c>
      <c r="M165" s="1" t="s">
        <v>567</v>
      </c>
      <c r="N165">
        <v>115</v>
      </c>
      <c r="O165">
        <v>4</v>
      </c>
      <c r="P165" t="s">
        <v>1092</v>
      </c>
      <c r="Q165" s="1" t="s">
        <v>1097</v>
      </c>
    </row>
    <row r="166" spans="1:17" x14ac:dyDescent="0.25">
      <c r="A166" s="1" t="s">
        <v>1041</v>
      </c>
      <c r="B166" s="1" t="s">
        <v>460</v>
      </c>
      <c r="C166" s="1" t="s">
        <v>6</v>
      </c>
      <c r="D166" s="2">
        <v>45743</v>
      </c>
      <c r="E166" s="2">
        <v>45747</v>
      </c>
      <c r="F166" s="1" t="s">
        <v>1085</v>
      </c>
      <c r="G166" s="1" t="s">
        <v>47</v>
      </c>
      <c r="H166" s="1" t="s">
        <v>25</v>
      </c>
      <c r="I166">
        <v>37</v>
      </c>
      <c r="J166" s="1" t="s">
        <v>449</v>
      </c>
      <c r="K166" s="1" t="s">
        <v>7</v>
      </c>
      <c r="L166" s="1" t="s">
        <v>8</v>
      </c>
      <c r="M166" s="1" t="s">
        <v>513</v>
      </c>
      <c r="N166">
        <v>80</v>
      </c>
      <c r="O166">
        <v>4</v>
      </c>
      <c r="P166" t="s">
        <v>1092</v>
      </c>
      <c r="Q166" s="1" t="s">
        <v>1090</v>
      </c>
    </row>
    <row r="167" spans="1:17" x14ac:dyDescent="0.25">
      <c r="A167" s="1" t="s">
        <v>1118</v>
      </c>
      <c r="B167" s="1" t="s">
        <v>448</v>
      </c>
      <c r="C167" s="1" t="s">
        <v>6</v>
      </c>
      <c r="D167" s="2">
        <v>45663</v>
      </c>
      <c r="E167" s="2">
        <v>45667</v>
      </c>
      <c r="F167" s="1" t="s">
        <v>1085</v>
      </c>
      <c r="G167" s="1" t="s">
        <v>270</v>
      </c>
      <c r="H167" s="1" t="s">
        <v>25</v>
      </c>
      <c r="I167">
        <v>34</v>
      </c>
      <c r="J167" s="1" t="s">
        <v>449</v>
      </c>
      <c r="K167" s="1" t="s">
        <v>7</v>
      </c>
      <c r="L167" s="1" t="s">
        <v>8</v>
      </c>
      <c r="M167" s="1"/>
      <c r="O167">
        <v>4</v>
      </c>
      <c r="P167" t="s">
        <v>1083</v>
      </c>
      <c r="Q167" s="1" t="s">
        <v>1084</v>
      </c>
    </row>
    <row r="168" spans="1:17" x14ac:dyDescent="0.25">
      <c r="A168" s="1" t="s">
        <v>643</v>
      </c>
      <c r="B168" s="1" t="s">
        <v>151</v>
      </c>
      <c r="C168" s="1" t="s">
        <v>6</v>
      </c>
      <c r="D168" s="2">
        <v>45979</v>
      </c>
      <c r="E168" s="2">
        <v>45983</v>
      </c>
      <c r="F168" s="1" t="s">
        <v>1082</v>
      </c>
      <c r="G168" s="1" t="s">
        <v>152</v>
      </c>
      <c r="H168" s="1" t="s">
        <v>25</v>
      </c>
      <c r="I168">
        <v>42</v>
      </c>
      <c r="J168" s="1" t="s">
        <v>98</v>
      </c>
      <c r="K168" s="1" t="s">
        <v>7</v>
      </c>
      <c r="L168" s="1" t="s">
        <v>8</v>
      </c>
      <c r="M168" s="1" t="s">
        <v>644</v>
      </c>
      <c r="N168">
        <v>130</v>
      </c>
      <c r="O168">
        <v>4</v>
      </c>
      <c r="P168" t="s">
        <v>1092</v>
      </c>
      <c r="Q168" s="1" t="s">
        <v>1109</v>
      </c>
    </row>
    <row r="169" spans="1:17" x14ac:dyDescent="0.25">
      <c r="A169" s="1" t="s">
        <v>608</v>
      </c>
      <c r="B169" s="1" t="s">
        <v>121</v>
      </c>
      <c r="C169" s="1" t="s">
        <v>6</v>
      </c>
      <c r="D169" s="2">
        <v>45816</v>
      </c>
      <c r="E169" s="2">
        <v>45820</v>
      </c>
      <c r="F169" s="1" t="s">
        <v>1100</v>
      </c>
      <c r="G169" s="1" t="s">
        <v>122</v>
      </c>
      <c r="H169" s="1" t="s">
        <v>29</v>
      </c>
      <c r="I169">
        <v>55</v>
      </c>
      <c r="J169" s="1" t="s">
        <v>98</v>
      </c>
      <c r="K169" s="1" t="s">
        <v>7</v>
      </c>
      <c r="L169" s="1" t="s">
        <v>8</v>
      </c>
      <c r="M169" s="1" t="s">
        <v>546</v>
      </c>
      <c r="N169">
        <v>110</v>
      </c>
      <c r="O169">
        <v>4</v>
      </c>
      <c r="P169" t="s">
        <v>1088</v>
      </c>
      <c r="Q169" s="1" t="s">
        <v>1102</v>
      </c>
    </row>
    <row r="170" spans="1:17" x14ac:dyDescent="0.25">
      <c r="A170" s="1" t="s">
        <v>488</v>
      </c>
      <c r="B170" s="1" t="s">
        <v>32</v>
      </c>
      <c r="C170" s="1" t="s">
        <v>12</v>
      </c>
      <c r="D170" s="2">
        <v>45717</v>
      </c>
      <c r="E170" s="2">
        <v>45720</v>
      </c>
      <c r="F170" s="1" t="s">
        <v>1089</v>
      </c>
      <c r="G170" s="1" t="s">
        <v>33</v>
      </c>
      <c r="H170" s="1" t="s">
        <v>29</v>
      </c>
      <c r="I170">
        <v>19</v>
      </c>
      <c r="J170" s="1" t="s">
        <v>26</v>
      </c>
      <c r="K170" s="1" t="s">
        <v>13</v>
      </c>
      <c r="L170" s="1" t="s">
        <v>14</v>
      </c>
      <c r="M170" s="1" t="s">
        <v>489</v>
      </c>
      <c r="N170">
        <v>60</v>
      </c>
      <c r="O170">
        <v>3</v>
      </c>
      <c r="P170" t="s">
        <v>1083</v>
      </c>
      <c r="Q170" s="1" t="s">
        <v>1090</v>
      </c>
    </row>
    <row r="171" spans="1:17" x14ac:dyDescent="0.25">
      <c r="A171" s="1" t="s">
        <v>503</v>
      </c>
      <c r="B171" s="1" t="s">
        <v>42</v>
      </c>
      <c r="C171" s="1" t="s">
        <v>12</v>
      </c>
      <c r="D171" s="2">
        <v>45787</v>
      </c>
      <c r="E171" s="2">
        <v>45789</v>
      </c>
      <c r="F171" s="1" t="s">
        <v>1098</v>
      </c>
      <c r="G171" s="1" t="s">
        <v>43</v>
      </c>
      <c r="H171" s="1" t="s">
        <v>25</v>
      </c>
      <c r="I171">
        <v>12</v>
      </c>
      <c r="J171" s="1" t="s">
        <v>26</v>
      </c>
      <c r="K171" s="1" t="s">
        <v>13</v>
      </c>
      <c r="L171" s="1" t="s">
        <v>14</v>
      </c>
      <c r="M171" s="1" t="s">
        <v>504</v>
      </c>
      <c r="N171">
        <v>45</v>
      </c>
      <c r="O171">
        <v>2</v>
      </c>
      <c r="P171" t="s">
        <v>1099</v>
      </c>
      <c r="Q171" s="1" t="s">
        <v>1097</v>
      </c>
    </row>
    <row r="172" spans="1:17" x14ac:dyDescent="0.25">
      <c r="A172" s="1" t="s">
        <v>518</v>
      </c>
      <c r="B172" s="1" t="s">
        <v>52</v>
      </c>
      <c r="C172" s="1" t="s">
        <v>12</v>
      </c>
      <c r="D172" s="2">
        <v>45839</v>
      </c>
      <c r="E172" s="2">
        <v>45841</v>
      </c>
      <c r="F172" s="1" t="s">
        <v>1104</v>
      </c>
      <c r="G172" s="1" t="s">
        <v>53</v>
      </c>
      <c r="H172" s="1" t="s">
        <v>29</v>
      </c>
      <c r="I172">
        <v>16</v>
      </c>
      <c r="J172" s="1" t="s">
        <v>26</v>
      </c>
      <c r="K172" s="1" t="s">
        <v>13</v>
      </c>
      <c r="L172" s="1" t="s">
        <v>14</v>
      </c>
      <c r="M172" s="1" t="s">
        <v>519</v>
      </c>
      <c r="N172">
        <v>65</v>
      </c>
      <c r="O172">
        <v>2</v>
      </c>
      <c r="P172" t="s">
        <v>1099</v>
      </c>
      <c r="Q172" s="1" t="s">
        <v>1105</v>
      </c>
    </row>
    <row r="173" spans="1:17" x14ac:dyDescent="0.25">
      <c r="A173" s="1" t="s">
        <v>533</v>
      </c>
      <c r="B173" s="1" t="s">
        <v>62</v>
      </c>
      <c r="C173" s="1" t="s">
        <v>12</v>
      </c>
      <c r="D173" s="2">
        <v>45889</v>
      </c>
      <c r="E173" s="2">
        <v>45892</v>
      </c>
      <c r="F173" s="1" t="s">
        <v>1085</v>
      </c>
      <c r="G173" s="1" t="s">
        <v>63</v>
      </c>
      <c r="H173" s="1" t="s">
        <v>25</v>
      </c>
      <c r="I173">
        <v>31</v>
      </c>
      <c r="J173" s="1" t="s">
        <v>26</v>
      </c>
      <c r="K173" s="1" t="s">
        <v>13</v>
      </c>
      <c r="L173" s="1" t="s">
        <v>14</v>
      </c>
      <c r="M173" s="1" t="s">
        <v>534</v>
      </c>
      <c r="N173">
        <v>70</v>
      </c>
      <c r="O173">
        <v>3</v>
      </c>
      <c r="P173" t="s">
        <v>1083</v>
      </c>
      <c r="Q173" s="1" t="s">
        <v>1106</v>
      </c>
    </row>
    <row r="174" spans="1:17" x14ac:dyDescent="0.25">
      <c r="A174" s="1" t="s">
        <v>548</v>
      </c>
      <c r="B174" s="1" t="s">
        <v>72</v>
      </c>
      <c r="C174" s="1" t="s">
        <v>12</v>
      </c>
      <c r="D174" s="2">
        <v>45940</v>
      </c>
      <c r="E174" s="2">
        <v>45942</v>
      </c>
      <c r="F174" s="1" t="s">
        <v>1098</v>
      </c>
      <c r="G174" s="1" t="s">
        <v>73</v>
      </c>
      <c r="H174" s="1" t="s">
        <v>29</v>
      </c>
      <c r="I174">
        <v>18</v>
      </c>
      <c r="J174" s="1" t="s">
        <v>26</v>
      </c>
      <c r="K174" s="1" t="s">
        <v>13</v>
      </c>
      <c r="L174" s="1" t="s">
        <v>14</v>
      </c>
      <c r="M174" s="1" t="s">
        <v>549</v>
      </c>
      <c r="N174">
        <v>55</v>
      </c>
      <c r="O174">
        <v>2</v>
      </c>
      <c r="P174" t="s">
        <v>1099</v>
      </c>
      <c r="Q174" s="1" t="s">
        <v>1108</v>
      </c>
    </row>
    <row r="175" spans="1:17" x14ac:dyDescent="0.25">
      <c r="A175" s="1" t="s">
        <v>563</v>
      </c>
      <c r="B175" s="1" t="s">
        <v>82</v>
      </c>
      <c r="C175" s="1" t="s">
        <v>12</v>
      </c>
      <c r="D175" s="2">
        <v>45981</v>
      </c>
      <c r="E175" s="2">
        <v>45984</v>
      </c>
      <c r="F175" s="1" t="s">
        <v>1091</v>
      </c>
      <c r="G175" s="1" t="s">
        <v>83</v>
      </c>
      <c r="H175" s="1" t="s">
        <v>25</v>
      </c>
      <c r="I175">
        <v>21</v>
      </c>
      <c r="J175" s="1" t="s">
        <v>26</v>
      </c>
      <c r="K175" s="1" t="s">
        <v>13</v>
      </c>
      <c r="L175" s="1" t="s">
        <v>14</v>
      </c>
      <c r="M175" s="1" t="s">
        <v>564</v>
      </c>
      <c r="N175">
        <v>310</v>
      </c>
      <c r="O175">
        <v>3</v>
      </c>
      <c r="P175" t="s">
        <v>1083</v>
      </c>
      <c r="Q175" s="1" t="s">
        <v>1109</v>
      </c>
    </row>
    <row r="176" spans="1:17" x14ac:dyDescent="0.25">
      <c r="A176" s="1" t="s">
        <v>578</v>
      </c>
      <c r="B176" s="1" t="s">
        <v>92</v>
      </c>
      <c r="C176" s="1" t="s">
        <v>12</v>
      </c>
      <c r="D176" s="2">
        <v>46006</v>
      </c>
      <c r="E176" s="2">
        <v>46009</v>
      </c>
      <c r="F176" s="1" t="s">
        <v>1104</v>
      </c>
      <c r="G176" s="1" t="s">
        <v>93</v>
      </c>
      <c r="H176" s="1" t="s">
        <v>29</v>
      </c>
      <c r="I176">
        <v>30</v>
      </c>
      <c r="J176" s="1" t="s">
        <v>26</v>
      </c>
      <c r="K176" s="1" t="s">
        <v>13</v>
      </c>
      <c r="L176" s="1" t="s">
        <v>14</v>
      </c>
      <c r="M176" s="1" t="s">
        <v>579</v>
      </c>
      <c r="N176">
        <v>70</v>
      </c>
      <c r="O176">
        <v>3</v>
      </c>
      <c r="P176" t="s">
        <v>1083</v>
      </c>
      <c r="Q176" s="1" t="s">
        <v>1110</v>
      </c>
    </row>
    <row r="177" spans="1:17" x14ac:dyDescent="0.25">
      <c r="A177" s="1" t="s">
        <v>749</v>
      </c>
      <c r="B177" s="1" t="s">
        <v>242</v>
      </c>
      <c r="C177" s="1" t="s">
        <v>12</v>
      </c>
      <c r="D177" s="2">
        <v>45698</v>
      </c>
      <c r="E177" s="2">
        <v>45702</v>
      </c>
      <c r="F177" s="1" t="s">
        <v>1091</v>
      </c>
      <c r="G177" s="1" t="s">
        <v>243</v>
      </c>
      <c r="H177" s="1" t="s">
        <v>29</v>
      </c>
      <c r="I177">
        <v>19</v>
      </c>
      <c r="J177" s="1" t="s">
        <v>238</v>
      </c>
      <c r="K177" s="1" t="s">
        <v>13</v>
      </c>
      <c r="L177" s="1" t="s">
        <v>14</v>
      </c>
      <c r="M177" s="1" t="s">
        <v>492</v>
      </c>
      <c r="N177">
        <v>1300</v>
      </c>
      <c r="O177">
        <v>4</v>
      </c>
      <c r="P177" t="s">
        <v>1083</v>
      </c>
      <c r="Q177" s="1" t="s">
        <v>1086</v>
      </c>
    </row>
    <row r="178" spans="1:17" x14ac:dyDescent="0.25">
      <c r="A178" s="1" t="s">
        <v>759</v>
      </c>
      <c r="B178" s="1" t="s">
        <v>248</v>
      </c>
      <c r="C178" s="1" t="s">
        <v>12</v>
      </c>
      <c r="D178" s="2">
        <v>45748</v>
      </c>
      <c r="E178" s="2">
        <v>45751</v>
      </c>
      <c r="F178" s="1" t="s">
        <v>1104</v>
      </c>
      <c r="G178" s="1" t="s">
        <v>43</v>
      </c>
      <c r="H178" s="1" t="s">
        <v>25</v>
      </c>
      <c r="I178">
        <v>12</v>
      </c>
      <c r="J178" s="1" t="s">
        <v>238</v>
      </c>
      <c r="K178" s="1" t="s">
        <v>13</v>
      </c>
      <c r="L178" s="1" t="s">
        <v>14</v>
      </c>
      <c r="M178" s="1" t="s">
        <v>647</v>
      </c>
      <c r="N178">
        <v>70</v>
      </c>
      <c r="O178">
        <v>3</v>
      </c>
      <c r="P178" t="s">
        <v>1099</v>
      </c>
      <c r="Q178" s="1" t="s">
        <v>1094</v>
      </c>
    </row>
    <row r="179" spans="1:17" x14ac:dyDescent="0.25">
      <c r="A179" s="1" t="s">
        <v>797</v>
      </c>
      <c r="B179" s="1" t="s">
        <v>268</v>
      </c>
      <c r="C179" s="1" t="s">
        <v>12</v>
      </c>
      <c r="D179" s="2">
        <v>45912</v>
      </c>
      <c r="E179" s="2">
        <v>45916</v>
      </c>
      <c r="F179" s="1" t="s">
        <v>1104</v>
      </c>
      <c r="G179" s="1" t="s">
        <v>83</v>
      </c>
      <c r="H179" s="1" t="s">
        <v>25</v>
      </c>
      <c r="I179">
        <v>21</v>
      </c>
      <c r="J179" s="1" t="s">
        <v>238</v>
      </c>
      <c r="K179" s="1" t="s">
        <v>13</v>
      </c>
      <c r="L179" s="1" t="s">
        <v>14</v>
      </c>
      <c r="M179" s="1" t="s">
        <v>737</v>
      </c>
      <c r="N179">
        <v>70</v>
      </c>
      <c r="O179">
        <v>4</v>
      </c>
      <c r="P179" t="s">
        <v>1083</v>
      </c>
      <c r="Q179" s="1" t="s">
        <v>1107</v>
      </c>
    </row>
    <row r="180" spans="1:17" x14ac:dyDescent="0.25">
      <c r="A180" s="1" t="s">
        <v>692</v>
      </c>
      <c r="B180" s="1" t="s">
        <v>193</v>
      </c>
      <c r="C180" s="1" t="s">
        <v>12</v>
      </c>
      <c r="D180" s="2">
        <v>45807</v>
      </c>
      <c r="E180" s="2">
        <v>45811</v>
      </c>
      <c r="F180" s="1" t="s">
        <v>1091</v>
      </c>
      <c r="G180" s="1" t="s">
        <v>194</v>
      </c>
      <c r="H180" s="1" t="s">
        <v>25</v>
      </c>
      <c r="I180">
        <v>44</v>
      </c>
      <c r="J180" s="1" t="s">
        <v>168</v>
      </c>
      <c r="K180" s="1" t="s">
        <v>13</v>
      </c>
      <c r="L180" s="1" t="s">
        <v>14</v>
      </c>
      <c r="M180" s="1" t="s">
        <v>528</v>
      </c>
      <c r="N180">
        <v>320</v>
      </c>
      <c r="O180">
        <v>4</v>
      </c>
      <c r="P180" t="s">
        <v>1092</v>
      </c>
      <c r="Q180" s="1" t="s">
        <v>1097</v>
      </c>
    </row>
    <row r="181" spans="1:17" x14ac:dyDescent="0.25">
      <c r="A181" s="1" t="s">
        <v>725</v>
      </c>
      <c r="B181" s="1" t="s">
        <v>223</v>
      </c>
      <c r="C181" s="1" t="s">
        <v>12</v>
      </c>
      <c r="D181" s="2">
        <v>45950</v>
      </c>
      <c r="E181" s="2">
        <v>45953</v>
      </c>
      <c r="F181" s="1" t="s">
        <v>1085</v>
      </c>
      <c r="G181" s="1" t="s">
        <v>224</v>
      </c>
      <c r="H181" s="1" t="s">
        <v>29</v>
      </c>
      <c r="I181">
        <v>11</v>
      </c>
      <c r="J181" s="1" t="s">
        <v>168</v>
      </c>
      <c r="K181" s="1" t="s">
        <v>13</v>
      </c>
      <c r="L181" s="1" t="s">
        <v>14</v>
      </c>
      <c r="M181" s="1" t="s">
        <v>726</v>
      </c>
      <c r="N181">
        <v>85</v>
      </c>
      <c r="O181">
        <v>3</v>
      </c>
      <c r="P181" t="s">
        <v>1099</v>
      </c>
      <c r="Q181" s="1" t="s">
        <v>1108</v>
      </c>
    </row>
    <row r="182" spans="1:17" x14ac:dyDescent="0.25">
      <c r="A182" s="1" t="s">
        <v>672</v>
      </c>
      <c r="B182" s="1" t="s">
        <v>173</v>
      </c>
      <c r="C182" s="1" t="s">
        <v>12</v>
      </c>
      <c r="D182" s="2">
        <v>45702</v>
      </c>
      <c r="E182" s="2">
        <v>45706</v>
      </c>
      <c r="F182" s="1" t="s">
        <v>1091</v>
      </c>
      <c r="G182" s="1" t="s">
        <v>174</v>
      </c>
      <c r="H182" s="1" t="s">
        <v>25</v>
      </c>
      <c r="I182">
        <v>52</v>
      </c>
      <c r="J182" s="1" t="s">
        <v>168</v>
      </c>
      <c r="K182" s="1" t="s">
        <v>13</v>
      </c>
      <c r="L182" s="1" t="s">
        <v>14</v>
      </c>
      <c r="M182" s="1" t="s">
        <v>492</v>
      </c>
      <c r="N182">
        <v>1300</v>
      </c>
      <c r="O182">
        <v>4</v>
      </c>
      <c r="P182" t="s">
        <v>1088</v>
      </c>
      <c r="Q182" s="1" t="s">
        <v>1086</v>
      </c>
    </row>
    <row r="183" spans="1:17" x14ac:dyDescent="0.25">
      <c r="A183" s="1" t="s">
        <v>713</v>
      </c>
      <c r="B183" s="1" t="s">
        <v>213</v>
      </c>
      <c r="C183" s="1" t="s">
        <v>12</v>
      </c>
      <c r="D183" s="2">
        <v>45902</v>
      </c>
      <c r="E183" s="2">
        <v>45906</v>
      </c>
      <c r="F183" s="1" t="s">
        <v>1091</v>
      </c>
      <c r="G183" s="1" t="s">
        <v>214</v>
      </c>
      <c r="H183" s="1" t="s">
        <v>25</v>
      </c>
      <c r="I183">
        <v>40</v>
      </c>
      <c r="J183" s="1" t="s">
        <v>168</v>
      </c>
      <c r="K183" s="1" t="s">
        <v>13</v>
      </c>
      <c r="L183" s="1" t="s">
        <v>14</v>
      </c>
      <c r="M183" s="1" t="s">
        <v>564</v>
      </c>
      <c r="N183">
        <v>310</v>
      </c>
      <c r="O183">
        <v>4</v>
      </c>
      <c r="P183" t="s">
        <v>1092</v>
      </c>
      <c r="Q183" s="1" t="s">
        <v>1107</v>
      </c>
    </row>
    <row r="184" spans="1:17" x14ac:dyDescent="0.25">
      <c r="A184" s="1" t="s">
        <v>682</v>
      </c>
      <c r="B184" s="1" t="s">
        <v>183</v>
      </c>
      <c r="C184" s="1" t="s">
        <v>12</v>
      </c>
      <c r="D184" s="2">
        <v>45755</v>
      </c>
      <c r="E184" s="2">
        <v>45758</v>
      </c>
      <c r="F184" s="1" t="s">
        <v>1104</v>
      </c>
      <c r="G184" s="1" t="s">
        <v>184</v>
      </c>
      <c r="H184" s="1" t="s">
        <v>29</v>
      </c>
      <c r="I184">
        <v>12</v>
      </c>
      <c r="J184" s="1" t="s">
        <v>168</v>
      </c>
      <c r="K184" s="1" t="s">
        <v>13</v>
      </c>
      <c r="L184" s="1" t="s">
        <v>14</v>
      </c>
      <c r="M184" s="1" t="s">
        <v>647</v>
      </c>
      <c r="N184">
        <v>70</v>
      </c>
      <c r="O184">
        <v>3</v>
      </c>
      <c r="P184" t="s">
        <v>1099</v>
      </c>
      <c r="Q184" s="1" t="s">
        <v>1094</v>
      </c>
    </row>
    <row r="185" spans="1:17" x14ac:dyDescent="0.25">
      <c r="A185" s="1" t="s">
        <v>739</v>
      </c>
      <c r="B185" s="1" t="s">
        <v>233</v>
      </c>
      <c r="C185" s="1" t="s">
        <v>12</v>
      </c>
      <c r="D185" s="2">
        <v>45996</v>
      </c>
      <c r="E185" s="2">
        <v>46000</v>
      </c>
      <c r="F185" s="1" t="s">
        <v>1091</v>
      </c>
      <c r="G185" s="1" t="s">
        <v>234</v>
      </c>
      <c r="H185" s="1" t="s">
        <v>25</v>
      </c>
      <c r="I185">
        <v>47</v>
      </c>
      <c r="J185" s="1" t="s">
        <v>168</v>
      </c>
      <c r="K185" s="1" t="s">
        <v>13</v>
      </c>
      <c r="L185" s="1" t="s">
        <v>14</v>
      </c>
      <c r="M185" s="1" t="s">
        <v>661</v>
      </c>
      <c r="N185">
        <v>310</v>
      </c>
      <c r="O185">
        <v>4</v>
      </c>
      <c r="P185" t="s">
        <v>1092</v>
      </c>
      <c r="Q185" s="1" t="s">
        <v>1110</v>
      </c>
    </row>
    <row r="186" spans="1:17" x14ac:dyDescent="0.25">
      <c r="A186" s="1" t="s">
        <v>702</v>
      </c>
      <c r="B186" s="1" t="s">
        <v>203</v>
      </c>
      <c r="C186" s="1" t="s">
        <v>12</v>
      </c>
      <c r="D186" s="2">
        <v>45853</v>
      </c>
      <c r="E186" s="2">
        <v>45856</v>
      </c>
      <c r="F186" s="1" t="s">
        <v>1104</v>
      </c>
      <c r="G186" s="1" t="s">
        <v>204</v>
      </c>
      <c r="H186" s="1" t="s">
        <v>29</v>
      </c>
      <c r="I186">
        <v>21</v>
      </c>
      <c r="J186" s="1" t="s">
        <v>168</v>
      </c>
      <c r="K186" s="1" t="s">
        <v>13</v>
      </c>
      <c r="L186" s="1" t="s">
        <v>14</v>
      </c>
      <c r="M186" s="1" t="s">
        <v>579</v>
      </c>
      <c r="N186">
        <v>70</v>
      </c>
      <c r="O186">
        <v>3</v>
      </c>
      <c r="P186" t="s">
        <v>1083</v>
      </c>
      <c r="Q186" s="1" t="s">
        <v>1105</v>
      </c>
    </row>
    <row r="187" spans="1:17" x14ac:dyDescent="0.25">
      <c r="A187" s="1" t="s">
        <v>779</v>
      </c>
      <c r="B187" s="1" t="s">
        <v>258</v>
      </c>
      <c r="C187" s="1" t="s">
        <v>12</v>
      </c>
      <c r="D187" s="2">
        <v>45836</v>
      </c>
      <c r="E187" s="2">
        <v>45840</v>
      </c>
      <c r="F187" s="1" t="s">
        <v>1104</v>
      </c>
      <c r="G187" s="1" t="s">
        <v>63</v>
      </c>
      <c r="H187" s="1" t="s">
        <v>25</v>
      </c>
      <c r="I187">
        <v>31</v>
      </c>
      <c r="J187" s="1" t="s">
        <v>238</v>
      </c>
      <c r="K187" s="1" t="s">
        <v>13</v>
      </c>
      <c r="L187" s="1" t="s">
        <v>14</v>
      </c>
      <c r="M187" s="1" t="s">
        <v>579</v>
      </c>
      <c r="N187">
        <v>70</v>
      </c>
      <c r="O187">
        <v>4</v>
      </c>
      <c r="P187" t="s">
        <v>1083</v>
      </c>
      <c r="Q187" s="1" t="s">
        <v>1102</v>
      </c>
    </row>
    <row r="188" spans="1:17" x14ac:dyDescent="0.25">
      <c r="A188" s="1" t="s">
        <v>787</v>
      </c>
      <c r="B188" s="1" t="s">
        <v>263</v>
      </c>
      <c r="C188" s="1" t="s">
        <v>12</v>
      </c>
      <c r="D188" s="2">
        <v>45874</v>
      </c>
      <c r="E188" s="2">
        <v>45878</v>
      </c>
      <c r="F188" s="1" t="s">
        <v>1091</v>
      </c>
      <c r="G188" s="1" t="s">
        <v>73</v>
      </c>
      <c r="H188" s="1" t="s">
        <v>29</v>
      </c>
      <c r="I188">
        <v>18</v>
      </c>
      <c r="J188" s="1" t="s">
        <v>238</v>
      </c>
      <c r="K188" s="1" t="s">
        <v>13</v>
      </c>
      <c r="L188" s="1" t="s">
        <v>14</v>
      </c>
      <c r="M188" s="1" t="s">
        <v>564</v>
      </c>
      <c r="N188">
        <v>310</v>
      </c>
      <c r="O188">
        <v>4</v>
      </c>
      <c r="P188" t="s">
        <v>1099</v>
      </c>
      <c r="Q188" s="1" t="s">
        <v>1106</v>
      </c>
    </row>
    <row r="189" spans="1:17" x14ac:dyDescent="0.25">
      <c r="A189" s="1" t="s">
        <v>769</v>
      </c>
      <c r="B189" s="1" t="s">
        <v>253</v>
      </c>
      <c r="C189" s="1" t="s">
        <v>12</v>
      </c>
      <c r="D189" s="2">
        <v>45792</v>
      </c>
      <c r="E189" s="2">
        <v>45795</v>
      </c>
      <c r="F189" s="1" t="s">
        <v>1091</v>
      </c>
      <c r="G189" s="1" t="s">
        <v>53</v>
      </c>
      <c r="H189" s="1" t="s">
        <v>29</v>
      </c>
      <c r="I189">
        <v>16</v>
      </c>
      <c r="J189" s="1" t="s">
        <v>238</v>
      </c>
      <c r="K189" s="1" t="s">
        <v>13</v>
      </c>
      <c r="L189" s="1" t="s">
        <v>14</v>
      </c>
      <c r="M189" s="1" t="s">
        <v>528</v>
      </c>
      <c r="N189">
        <v>320</v>
      </c>
      <c r="O189">
        <v>3</v>
      </c>
      <c r="P189" t="s">
        <v>1099</v>
      </c>
      <c r="Q189" s="1" t="s">
        <v>1097</v>
      </c>
    </row>
    <row r="190" spans="1:17" x14ac:dyDescent="0.25">
      <c r="A190" s="1" t="s">
        <v>823</v>
      </c>
      <c r="B190" s="1" t="s">
        <v>295</v>
      </c>
      <c r="C190" s="1" t="s">
        <v>12</v>
      </c>
      <c r="D190" s="2">
        <v>45789</v>
      </c>
      <c r="E190" s="2">
        <v>45793</v>
      </c>
      <c r="F190" s="1" t="s">
        <v>1091</v>
      </c>
      <c r="G190" s="1" t="s">
        <v>296</v>
      </c>
      <c r="H190" s="1" t="s">
        <v>29</v>
      </c>
      <c r="I190">
        <v>16</v>
      </c>
      <c r="J190" s="1" t="s">
        <v>271</v>
      </c>
      <c r="K190" s="1" t="s">
        <v>13</v>
      </c>
      <c r="L190" s="1" t="s">
        <v>14</v>
      </c>
      <c r="M190" s="1" t="s">
        <v>528</v>
      </c>
      <c r="N190">
        <v>320</v>
      </c>
      <c r="O190">
        <v>4</v>
      </c>
      <c r="P190" t="s">
        <v>1099</v>
      </c>
      <c r="Q190" s="1" t="s">
        <v>1097</v>
      </c>
    </row>
    <row r="191" spans="1:17" x14ac:dyDescent="0.25">
      <c r="A191" s="1" t="s">
        <v>805</v>
      </c>
      <c r="B191" s="1" t="s">
        <v>276</v>
      </c>
      <c r="C191" s="1" t="s">
        <v>12</v>
      </c>
      <c r="D191" s="2">
        <v>45698</v>
      </c>
      <c r="E191" s="2">
        <v>45702</v>
      </c>
      <c r="F191" s="1" t="s">
        <v>1091</v>
      </c>
      <c r="G191" s="1" t="s">
        <v>277</v>
      </c>
      <c r="H191" s="1" t="s">
        <v>29</v>
      </c>
      <c r="I191">
        <v>19</v>
      </c>
      <c r="J191" s="1" t="s">
        <v>271</v>
      </c>
      <c r="K191" s="1" t="s">
        <v>13</v>
      </c>
      <c r="L191" s="1" t="s">
        <v>14</v>
      </c>
      <c r="M191" s="1" t="s">
        <v>492</v>
      </c>
      <c r="N191">
        <v>1300</v>
      </c>
      <c r="O191">
        <v>4</v>
      </c>
      <c r="P191" t="s">
        <v>1083</v>
      </c>
      <c r="Q191" s="1" t="s">
        <v>1086</v>
      </c>
    </row>
    <row r="192" spans="1:17" x14ac:dyDescent="0.25">
      <c r="A192" s="1" t="s">
        <v>842</v>
      </c>
      <c r="B192" s="1" t="s">
        <v>309</v>
      </c>
      <c r="C192" s="1" t="s">
        <v>12</v>
      </c>
      <c r="D192" s="2">
        <v>45872</v>
      </c>
      <c r="E192" s="2">
        <v>45876</v>
      </c>
      <c r="F192" s="1" t="s">
        <v>1091</v>
      </c>
      <c r="G192" s="1" t="s">
        <v>310</v>
      </c>
      <c r="H192" s="1" t="s">
        <v>29</v>
      </c>
      <c r="I192">
        <v>18</v>
      </c>
      <c r="J192" s="1" t="s">
        <v>271</v>
      </c>
      <c r="K192" s="1" t="s">
        <v>13</v>
      </c>
      <c r="L192" s="1" t="s">
        <v>14</v>
      </c>
      <c r="M192" s="1" t="s">
        <v>564</v>
      </c>
      <c r="N192">
        <v>310</v>
      </c>
      <c r="O192">
        <v>4</v>
      </c>
      <c r="P192" t="s">
        <v>1099</v>
      </c>
      <c r="Q192" s="1" t="s">
        <v>1106</v>
      </c>
    </row>
    <row r="193" spans="1:17" x14ac:dyDescent="0.25">
      <c r="A193" s="1" t="s">
        <v>610</v>
      </c>
      <c r="B193" s="1" t="s">
        <v>123</v>
      </c>
      <c r="C193" s="1" t="s">
        <v>12</v>
      </c>
      <c r="D193" s="2">
        <v>45828</v>
      </c>
      <c r="E193" s="2">
        <v>45832</v>
      </c>
      <c r="F193" s="1" t="s">
        <v>1091</v>
      </c>
      <c r="G193" s="1" t="s">
        <v>124</v>
      </c>
      <c r="H193" s="1" t="s">
        <v>25</v>
      </c>
      <c r="I193">
        <v>27</v>
      </c>
      <c r="J193" s="1" t="s">
        <v>98</v>
      </c>
      <c r="K193" s="1" t="s">
        <v>13</v>
      </c>
      <c r="L193" s="1" t="s">
        <v>14</v>
      </c>
      <c r="M193" s="1" t="s">
        <v>528</v>
      </c>
      <c r="N193">
        <v>320</v>
      </c>
      <c r="O193">
        <v>4</v>
      </c>
      <c r="P193" t="s">
        <v>1083</v>
      </c>
      <c r="Q193" s="1" t="s">
        <v>1102</v>
      </c>
    </row>
    <row r="194" spans="1:17" x14ac:dyDescent="0.25">
      <c r="A194" s="1" t="s">
        <v>832</v>
      </c>
      <c r="B194" s="1" t="s">
        <v>303</v>
      </c>
      <c r="C194" s="1" t="s">
        <v>12</v>
      </c>
      <c r="D194" s="2">
        <v>45830</v>
      </c>
      <c r="E194" s="2">
        <v>45834</v>
      </c>
      <c r="F194" s="1" t="s">
        <v>1104</v>
      </c>
      <c r="G194" s="1" t="s">
        <v>116</v>
      </c>
      <c r="H194" s="1" t="s">
        <v>25</v>
      </c>
      <c r="I194">
        <v>31</v>
      </c>
      <c r="J194" s="1" t="s">
        <v>271</v>
      </c>
      <c r="K194" s="1" t="s">
        <v>13</v>
      </c>
      <c r="L194" s="1" t="s">
        <v>14</v>
      </c>
      <c r="M194" s="1" t="s">
        <v>579</v>
      </c>
      <c r="N194">
        <v>70</v>
      </c>
      <c r="O194">
        <v>4</v>
      </c>
      <c r="P194" t="s">
        <v>1083</v>
      </c>
      <c r="Q194" s="1" t="s">
        <v>1102</v>
      </c>
    </row>
    <row r="195" spans="1:17" x14ac:dyDescent="0.25">
      <c r="A195" s="1" t="s">
        <v>813</v>
      </c>
      <c r="B195" s="1" t="s">
        <v>285</v>
      </c>
      <c r="C195" s="1" t="s">
        <v>12</v>
      </c>
      <c r="D195" s="2">
        <v>45744</v>
      </c>
      <c r="E195" s="2">
        <v>45748</v>
      </c>
      <c r="F195" s="1" t="s">
        <v>1104</v>
      </c>
      <c r="G195" s="1" t="s">
        <v>286</v>
      </c>
      <c r="H195" s="1" t="s">
        <v>25</v>
      </c>
      <c r="I195">
        <v>12</v>
      </c>
      <c r="J195" s="1" t="s">
        <v>271</v>
      </c>
      <c r="K195" s="1" t="s">
        <v>13</v>
      </c>
      <c r="L195" s="1" t="s">
        <v>14</v>
      </c>
      <c r="M195" s="1" t="s">
        <v>647</v>
      </c>
      <c r="N195">
        <v>70</v>
      </c>
      <c r="O195">
        <v>4</v>
      </c>
      <c r="P195" t="s">
        <v>1099</v>
      </c>
      <c r="Q195" s="1" t="s">
        <v>1090</v>
      </c>
    </row>
    <row r="196" spans="1:17" x14ac:dyDescent="0.25">
      <c r="A196" s="1" t="s">
        <v>898</v>
      </c>
      <c r="B196" s="1" t="s">
        <v>366</v>
      </c>
      <c r="C196" s="1" t="s">
        <v>12</v>
      </c>
      <c r="D196" s="2">
        <v>45895</v>
      </c>
      <c r="E196" s="2">
        <v>45899</v>
      </c>
      <c r="F196" s="1" t="s">
        <v>1104</v>
      </c>
      <c r="G196" s="1" t="s">
        <v>367</v>
      </c>
      <c r="H196" s="1" t="s">
        <v>29</v>
      </c>
      <c r="I196">
        <v>11</v>
      </c>
      <c r="J196" s="1" t="s">
        <v>315</v>
      </c>
      <c r="K196" s="1" t="s">
        <v>13</v>
      </c>
      <c r="L196" s="1" t="s">
        <v>14</v>
      </c>
      <c r="M196" s="1" t="s">
        <v>737</v>
      </c>
      <c r="N196">
        <v>70</v>
      </c>
      <c r="O196">
        <v>4</v>
      </c>
      <c r="P196" t="s">
        <v>1099</v>
      </c>
      <c r="Q196" s="1" t="s">
        <v>1106</v>
      </c>
    </row>
    <row r="197" spans="1:17" x14ac:dyDescent="0.25">
      <c r="A197" s="1" t="s">
        <v>880</v>
      </c>
      <c r="B197" s="1" t="s">
        <v>348</v>
      </c>
      <c r="C197" s="1" t="s">
        <v>12</v>
      </c>
      <c r="D197" s="2">
        <v>45815</v>
      </c>
      <c r="E197" s="2">
        <v>45819</v>
      </c>
      <c r="F197" s="1" t="s">
        <v>1104</v>
      </c>
      <c r="G197" s="1" t="s">
        <v>349</v>
      </c>
      <c r="H197" s="1" t="s">
        <v>29</v>
      </c>
      <c r="I197">
        <v>21</v>
      </c>
      <c r="J197" s="1" t="s">
        <v>315</v>
      </c>
      <c r="K197" s="1" t="s">
        <v>13</v>
      </c>
      <c r="L197" s="1" t="s">
        <v>14</v>
      </c>
      <c r="M197" s="1" t="s">
        <v>579</v>
      </c>
      <c r="N197">
        <v>70</v>
      </c>
      <c r="O197">
        <v>4</v>
      </c>
      <c r="P197" t="s">
        <v>1083</v>
      </c>
      <c r="Q197" s="1" t="s">
        <v>1102</v>
      </c>
    </row>
    <row r="198" spans="1:17" x14ac:dyDescent="0.25">
      <c r="A198" s="1" t="s">
        <v>890</v>
      </c>
      <c r="B198" s="1" t="s">
        <v>358</v>
      </c>
      <c r="C198" s="1" t="s">
        <v>12</v>
      </c>
      <c r="D198" s="2">
        <v>45855</v>
      </c>
      <c r="E198" s="2">
        <v>45859</v>
      </c>
      <c r="F198" s="1" t="s">
        <v>1091</v>
      </c>
      <c r="G198" s="1" t="s">
        <v>359</v>
      </c>
      <c r="H198" s="1" t="s">
        <v>25</v>
      </c>
      <c r="I198">
        <v>40</v>
      </c>
      <c r="J198" s="1" t="s">
        <v>315</v>
      </c>
      <c r="K198" s="1" t="s">
        <v>13</v>
      </c>
      <c r="L198" s="1" t="s">
        <v>14</v>
      </c>
      <c r="M198" s="1" t="s">
        <v>564</v>
      </c>
      <c r="N198">
        <v>310</v>
      </c>
      <c r="O198">
        <v>4</v>
      </c>
      <c r="P198" t="s">
        <v>1092</v>
      </c>
      <c r="Q198" s="1" t="s">
        <v>1105</v>
      </c>
    </row>
    <row r="199" spans="1:17" x14ac:dyDescent="0.25">
      <c r="A199" s="1" t="s">
        <v>854</v>
      </c>
      <c r="B199" s="1" t="s">
        <v>320</v>
      </c>
      <c r="C199" s="1" t="s">
        <v>12</v>
      </c>
      <c r="D199" s="2">
        <v>45691</v>
      </c>
      <c r="E199" s="2">
        <v>45695</v>
      </c>
      <c r="F199" s="1" t="s">
        <v>1091</v>
      </c>
      <c r="G199" s="1" t="s">
        <v>321</v>
      </c>
      <c r="H199" s="1" t="s">
        <v>25</v>
      </c>
      <c r="I199">
        <v>52</v>
      </c>
      <c r="J199" s="1" t="s">
        <v>315</v>
      </c>
      <c r="K199" s="1" t="s">
        <v>13</v>
      </c>
      <c r="L199" s="1" t="s">
        <v>14</v>
      </c>
      <c r="M199" s="1" t="s">
        <v>492</v>
      </c>
      <c r="N199">
        <v>1300</v>
      </c>
      <c r="O199">
        <v>4</v>
      </c>
      <c r="P199" t="s">
        <v>1088</v>
      </c>
      <c r="Q199" s="1" t="s">
        <v>1086</v>
      </c>
    </row>
    <row r="200" spans="1:17" x14ac:dyDescent="0.25">
      <c r="A200" s="1" t="s">
        <v>870</v>
      </c>
      <c r="B200" s="1" t="s">
        <v>338</v>
      </c>
      <c r="C200" s="1" t="s">
        <v>12</v>
      </c>
      <c r="D200" s="2">
        <v>45775</v>
      </c>
      <c r="E200" s="2">
        <v>45779</v>
      </c>
      <c r="F200" s="1" t="s">
        <v>1091</v>
      </c>
      <c r="G200" s="1" t="s">
        <v>339</v>
      </c>
      <c r="H200" s="1" t="s">
        <v>25</v>
      </c>
      <c r="I200">
        <v>44</v>
      </c>
      <c r="J200" s="1" t="s">
        <v>315</v>
      </c>
      <c r="K200" s="1" t="s">
        <v>13</v>
      </c>
      <c r="L200" s="1" t="s">
        <v>14</v>
      </c>
      <c r="M200" s="1" t="s">
        <v>528</v>
      </c>
      <c r="N200">
        <v>320</v>
      </c>
      <c r="O200">
        <v>4</v>
      </c>
      <c r="P200" t="s">
        <v>1092</v>
      </c>
      <c r="Q200" s="1" t="s">
        <v>1094</v>
      </c>
    </row>
    <row r="201" spans="1:17" x14ac:dyDescent="0.25">
      <c r="A201" s="1" t="s">
        <v>862</v>
      </c>
      <c r="B201" s="1" t="s">
        <v>328</v>
      </c>
      <c r="C201" s="1" t="s">
        <v>12</v>
      </c>
      <c r="D201" s="2">
        <v>45734</v>
      </c>
      <c r="E201" s="2">
        <v>45737</v>
      </c>
      <c r="F201" s="1" t="s">
        <v>1104</v>
      </c>
      <c r="G201" s="1" t="s">
        <v>329</v>
      </c>
      <c r="H201" s="1" t="s">
        <v>29</v>
      </c>
      <c r="I201">
        <v>12</v>
      </c>
      <c r="J201" s="1" t="s">
        <v>315</v>
      </c>
      <c r="K201" s="1" t="s">
        <v>13</v>
      </c>
      <c r="L201" s="1" t="s">
        <v>14</v>
      </c>
      <c r="M201" s="1" t="s">
        <v>647</v>
      </c>
      <c r="N201">
        <v>70</v>
      </c>
      <c r="O201">
        <v>3</v>
      </c>
      <c r="P201" t="s">
        <v>1099</v>
      </c>
      <c r="Q201" s="1" t="s">
        <v>1090</v>
      </c>
    </row>
    <row r="202" spans="1:17" x14ac:dyDescent="0.25">
      <c r="A202" s="1" t="s">
        <v>646</v>
      </c>
      <c r="B202" s="1" t="s">
        <v>153</v>
      </c>
      <c r="C202" s="1" t="s">
        <v>12</v>
      </c>
      <c r="D202" s="2">
        <v>45986</v>
      </c>
      <c r="E202" s="2">
        <v>45990</v>
      </c>
      <c r="F202" s="1" t="s">
        <v>1104</v>
      </c>
      <c r="G202" s="1" t="s">
        <v>154</v>
      </c>
      <c r="H202" s="1" t="s">
        <v>29</v>
      </c>
      <c r="I202">
        <v>11</v>
      </c>
      <c r="J202" s="1" t="s">
        <v>98</v>
      </c>
      <c r="K202" s="1" t="s">
        <v>13</v>
      </c>
      <c r="L202" s="1" t="s">
        <v>14</v>
      </c>
      <c r="M202" s="1" t="s">
        <v>647</v>
      </c>
      <c r="N202">
        <v>70</v>
      </c>
      <c r="O202">
        <v>4</v>
      </c>
      <c r="P202" t="s">
        <v>1099</v>
      </c>
      <c r="Q202" s="1" t="s">
        <v>1109</v>
      </c>
    </row>
    <row r="203" spans="1:17" x14ac:dyDescent="0.25">
      <c r="A203" s="1" t="s">
        <v>932</v>
      </c>
      <c r="B203" s="1" t="s">
        <v>392</v>
      </c>
      <c r="C203" s="1" t="s">
        <v>12</v>
      </c>
      <c r="D203" s="2">
        <v>45775</v>
      </c>
      <c r="E203" s="2">
        <v>45779</v>
      </c>
      <c r="F203" s="1" t="s">
        <v>1091</v>
      </c>
      <c r="G203" s="1" t="s">
        <v>393</v>
      </c>
      <c r="H203" s="1" t="s">
        <v>25</v>
      </c>
      <c r="I203">
        <v>44</v>
      </c>
      <c r="J203" s="1" t="s">
        <v>376</v>
      </c>
      <c r="K203" s="1" t="s">
        <v>13</v>
      </c>
      <c r="L203" s="1" t="s">
        <v>14</v>
      </c>
      <c r="M203" s="1" t="s">
        <v>528</v>
      </c>
      <c r="N203">
        <v>320</v>
      </c>
      <c r="O203">
        <v>4</v>
      </c>
      <c r="P203" t="s">
        <v>1092</v>
      </c>
      <c r="Q203" s="1" t="s">
        <v>1094</v>
      </c>
    </row>
    <row r="204" spans="1:17" x14ac:dyDescent="0.25">
      <c r="A204" s="1" t="s">
        <v>952</v>
      </c>
      <c r="B204" s="1" t="s">
        <v>404</v>
      </c>
      <c r="C204" s="1" t="s">
        <v>12</v>
      </c>
      <c r="D204" s="2">
        <v>45855</v>
      </c>
      <c r="E204" s="2">
        <v>45859</v>
      </c>
      <c r="F204" s="1" t="s">
        <v>1091</v>
      </c>
      <c r="G204" s="1" t="s">
        <v>214</v>
      </c>
      <c r="H204" s="1" t="s">
        <v>25</v>
      </c>
      <c r="I204">
        <v>40</v>
      </c>
      <c r="J204" s="1" t="s">
        <v>376</v>
      </c>
      <c r="K204" s="1" t="s">
        <v>13</v>
      </c>
      <c r="L204" s="1" t="s">
        <v>14</v>
      </c>
      <c r="M204" s="1" t="s">
        <v>564</v>
      </c>
      <c r="N204">
        <v>310</v>
      </c>
      <c r="O204">
        <v>4</v>
      </c>
      <c r="P204" t="s">
        <v>1092</v>
      </c>
      <c r="Q204" s="1" t="s">
        <v>1105</v>
      </c>
    </row>
    <row r="205" spans="1:17" x14ac:dyDescent="0.25">
      <c r="A205" s="1" t="s">
        <v>912</v>
      </c>
      <c r="B205" s="1" t="s">
        <v>380</v>
      </c>
      <c r="C205" s="1" t="s">
        <v>12</v>
      </c>
      <c r="D205" s="2">
        <v>45691</v>
      </c>
      <c r="E205" s="2">
        <v>45695</v>
      </c>
      <c r="F205" s="1" t="s">
        <v>1091</v>
      </c>
      <c r="G205" s="1" t="s">
        <v>182</v>
      </c>
      <c r="H205" s="1" t="s">
        <v>25</v>
      </c>
      <c r="I205">
        <v>52</v>
      </c>
      <c r="J205" s="1" t="s">
        <v>376</v>
      </c>
      <c r="K205" s="1" t="s">
        <v>13</v>
      </c>
      <c r="L205" s="1" t="s">
        <v>14</v>
      </c>
      <c r="M205" s="1" t="s">
        <v>492</v>
      </c>
      <c r="N205">
        <v>1300</v>
      </c>
      <c r="O205">
        <v>4</v>
      </c>
      <c r="P205" t="s">
        <v>1088</v>
      </c>
      <c r="Q205" s="1" t="s">
        <v>1086</v>
      </c>
    </row>
    <row r="206" spans="1:17" x14ac:dyDescent="0.25">
      <c r="A206" s="1" t="s">
        <v>970</v>
      </c>
      <c r="B206" s="1" t="s">
        <v>414</v>
      </c>
      <c r="C206" s="1" t="s">
        <v>12</v>
      </c>
      <c r="D206" s="2">
        <v>45935</v>
      </c>
      <c r="E206" s="2">
        <v>45939</v>
      </c>
      <c r="F206" s="1" t="s">
        <v>1089</v>
      </c>
      <c r="G206" s="1" t="s">
        <v>234</v>
      </c>
      <c r="H206" s="1" t="s">
        <v>25</v>
      </c>
      <c r="I206">
        <v>47</v>
      </c>
      <c r="J206" s="1" t="s">
        <v>376</v>
      </c>
      <c r="K206" s="1" t="s">
        <v>13</v>
      </c>
      <c r="L206" s="1" t="s">
        <v>14</v>
      </c>
      <c r="M206" s="1" t="s">
        <v>664</v>
      </c>
      <c r="N206">
        <v>95</v>
      </c>
      <c r="O206">
        <v>4</v>
      </c>
      <c r="P206" t="s">
        <v>1092</v>
      </c>
      <c r="Q206" s="1" t="s">
        <v>1108</v>
      </c>
    </row>
    <row r="207" spans="1:17" x14ac:dyDescent="0.25">
      <c r="A207" s="1" t="s">
        <v>632</v>
      </c>
      <c r="B207" s="1" t="s">
        <v>143</v>
      </c>
      <c r="C207" s="1" t="s">
        <v>12</v>
      </c>
      <c r="D207" s="2">
        <v>45938</v>
      </c>
      <c r="E207" s="2">
        <v>45942</v>
      </c>
      <c r="F207" s="1" t="s">
        <v>1091</v>
      </c>
      <c r="G207" s="1" t="s">
        <v>144</v>
      </c>
      <c r="H207" s="1" t="s">
        <v>25</v>
      </c>
      <c r="I207">
        <v>44</v>
      </c>
      <c r="J207" s="1" t="s">
        <v>98</v>
      </c>
      <c r="K207" s="1" t="s">
        <v>13</v>
      </c>
      <c r="L207" s="1" t="s">
        <v>14</v>
      </c>
      <c r="M207" s="1" t="s">
        <v>564</v>
      </c>
      <c r="N207">
        <v>310</v>
      </c>
      <c r="O207">
        <v>4</v>
      </c>
      <c r="P207" t="s">
        <v>1092</v>
      </c>
      <c r="Q207" s="1" t="s">
        <v>1108</v>
      </c>
    </row>
    <row r="208" spans="1:17" x14ac:dyDescent="0.25">
      <c r="A208" s="1" t="s">
        <v>1116</v>
      </c>
      <c r="B208" s="1" t="s">
        <v>409</v>
      </c>
      <c r="C208" s="1" t="s">
        <v>12</v>
      </c>
      <c r="D208" s="2">
        <v>45895</v>
      </c>
      <c r="E208" s="2">
        <v>45899</v>
      </c>
      <c r="F208" s="1" t="s">
        <v>1096</v>
      </c>
      <c r="G208" s="1" t="s">
        <v>224</v>
      </c>
      <c r="H208" s="1" t="s">
        <v>29</v>
      </c>
      <c r="I208">
        <v>11</v>
      </c>
      <c r="J208" s="1" t="s">
        <v>376</v>
      </c>
      <c r="K208" s="1" t="s">
        <v>13</v>
      </c>
      <c r="L208" s="1" t="s">
        <v>14</v>
      </c>
      <c r="M208" s="1"/>
      <c r="O208">
        <v>4</v>
      </c>
      <c r="P208" t="s">
        <v>1099</v>
      </c>
      <c r="Q208" s="1" t="s">
        <v>1106</v>
      </c>
    </row>
    <row r="209" spans="1:17" x14ac:dyDescent="0.25">
      <c r="A209" s="1" t="s">
        <v>942</v>
      </c>
      <c r="B209" s="1" t="s">
        <v>399</v>
      </c>
      <c r="C209" s="1" t="s">
        <v>12</v>
      </c>
      <c r="D209" s="2">
        <v>45815</v>
      </c>
      <c r="E209" s="2">
        <v>45819</v>
      </c>
      <c r="F209" s="1" t="s">
        <v>1104</v>
      </c>
      <c r="G209" s="1" t="s">
        <v>204</v>
      </c>
      <c r="H209" s="1" t="s">
        <v>29</v>
      </c>
      <c r="I209">
        <v>21</v>
      </c>
      <c r="J209" s="1" t="s">
        <v>376</v>
      </c>
      <c r="K209" s="1" t="s">
        <v>13</v>
      </c>
      <c r="L209" s="1" t="s">
        <v>14</v>
      </c>
      <c r="M209" s="1" t="s">
        <v>579</v>
      </c>
      <c r="N209">
        <v>70</v>
      </c>
      <c r="O209">
        <v>4</v>
      </c>
      <c r="P209" t="s">
        <v>1083</v>
      </c>
      <c r="Q209" s="1" t="s">
        <v>1102</v>
      </c>
    </row>
    <row r="210" spans="1:17" x14ac:dyDescent="0.25">
      <c r="A210" s="1" t="s">
        <v>922</v>
      </c>
      <c r="B210" s="1" t="s">
        <v>386</v>
      </c>
      <c r="C210" s="1" t="s">
        <v>12</v>
      </c>
      <c r="D210" s="2">
        <v>45734</v>
      </c>
      <c r="E210" s="2">
        <v>45737</v>
      </c>
      <c r="F210" s="1" t="s">
        <v>1104</v>
      </c>
      <c r="G210" s="1" t="s">
        <v>180</v>
      </c>
      <c r="H210" s="1" t="s">
        <v>29</v>
      </c>
      <c r="I210">
        <v>12</v>
      </c>
      <c r="J210" s="1" t="s">
        <v>376</v>
      </c>
      <c r="K210" s="1" t="s">
        <v>13</v>
      </c>
      <c r="L210" s="1" t="s">
        <v>14</v>
      </c>
      <c r="M210" s="1" t="s">
        <v>647</v>
      </c>
      <c r="N210">
        <v>70</v>
      </c>
      <c r="O210">
        <v>3</v>
      </c>
      <c r="P210" t="s">
        <v>1099</v>
      </c>
      <c r="Q210" s="1" t="s">
        <v>1090</v>
      </c>
    </row>
    <row r="211" spans="1:17" x14ac:dyDescent="0.25">
      <c r="A211" s="1" t="s">
        <v>1117</v>
      </c>
      <c r="B211" s="1" t="s">
        <v>434</v>
      </c>
      <c r="C211" s="1" t="s">
        <v>12</v>
      </c>
      <c r="D211" s="2">
        <v>45784</v>
      </c>
      <c r="E211" s="2">
        <v>45788</v>
      </c>
      <c r="F211" s="1" t="s">
        <v>1091</v>
      </c>
      <c r="G211" s="1" t="s">
        <v>53</v>
      </c>
      <c r="H211" s="1" t="s">
        <v>29</v>
      </c>
      <c r="I211">
        <v>16</v>
      </c>
      <c r="J211" s="1" t="s">
        <v>417</v>
      </c>
      <c r="K211" s="1" t="s">
        <v>13</v>
      </c>
      <c r="L211" s="1" t="s">
        <v>14</v>
      </c>
      <c r="M211" s="1"/>
      <c r="O211">
        <v>4</v>
      </c>
      <c r="P211" t="s">
        <v>1099</v>
      </c>
      <c r="Q211" s="1" t="s">
        <v>1097</v>
      </c>
    </row>
    <row r="212" spans="1:17" x14ac:dyDescent="0.25">
      <c r="A212" s="1" t="s">
        <v>978</v>
      </c>
      <c r="B212" s="1" t="s">
        <v>421</v>
      </c>
      <c r="C212" s="1" t="s">
        <v>12</v>
      </c>
      <c r="D212" s="2">
        <v>45694</v>
      </c>
      <c r="E212" s="2">
        <v>45698</v>
      </c>
      <c r="F212" s="1" t="s">
        <v>1091</v>
      </c>
      <c r="G212" s="1" t="s">
        <v>422</v>
      </c>
      <c r="H212" s="1" t="s">
        <v>29</v>
      </c>
      <c r="I212">
        <v>19</v>
      </c>
      <c r="J212" s="1" t="s">
        <v>417</v>
      </c>
      <c r="K212" s="1" t="s">
        <v>13</v>
      </c>
      <c r="L212" s="1" t="s">
        <v>14</v>
      </c>
      <c r="M212" s="1" t="s">
        <v>492</v>
      </c>
      <c r="N212">
        <v>1300</v>
      </c>
      <c r="O212">
        <v>4</v>
      </c>
      <c r="P212" t="s">
        <v>1083</v>
      </c>
      <c r="Q212" s="1" t="s">
        <v>1086</v>
      </c>
    </row>
    <row r="213" spans="1:17" x14ac:dyDescent="0.25">
      <c r="A213" s="1" t="s">
        <v>1015</v>
      </c>
      <c r="B213" s="1" t="s">
        <v>444</v>
      </c>
      <c r="C213" s="1" t="s">
        <v>12</v>
      </c>
      <c r="D213" s="2">
        <v>45874</v>
      </c>
      <c r="E213" s="2">
        <v>45878</v>
      </c>
      <c r="F213" s="1" t="s">
        <v>1091</v>
      </c>
      <c r="G213" s="1" t="s">
        <v>73</v>
      </c>
      <c r="H213" s="1" t="s">
        <v>29</v>
      </c>
      <c r="I213">
        <v>18</v>
      </c>
      <c r="J213" s="1" t="s">
        <v>417</v>
      </c>
      <c r="K213" s="1" t="s">
        <v>13</v>
      </c>
      <c r="L213" s="1" t="s">
        <v>14</v>
      </c>
      <c r="M213" s="1" t="s">
        <v>564</v>
      </c>
      <c r="N213">
        <v>310</v>
      </c>
      <c r="O213">
        <v>4</v>
      </c>
      <c r="P213" t="s">
        <v>1099</v>
      </c>
      <c r="Q213" s="1" t="s">
        <v>1106</v>
      </c>
    </row>
    <row r="214" spans="1:17" x14ac:dyDescent="0.25">
      <c r="A214" s="1" t="s">
        <v>1005</v>
      </c>
      <c r="B214" s="1" t="s">
        <v>439</v>
      </c>
      <c r="C214" s="1" t="s">
        <v>12</v>
      </c>
      <c r="D214" s="2">
        <v>45829</v>
      </c>
      <c r="E214" s="2">
        <v>45833</v>
      </c>
      <c r="F214" s="1" t="s">
        <v>1104</v>
      </c>
      <c r="G214" s="1" t="s">
        <v>63</v>
      </c>
      <c r="H214" s="1" t="s">
        <v>25</v>
      </c>
      <c r="I214">
        <v>31</v>
      </c>
      <c r="J214" s="1" t="s">
        <v>417</v>
      </c>
      <c r="K214" s="1" t="s">
        <v>13</v>
      </c>
      <c r="L214" s="1" t="s">
        <v>14</v>
      </c>
      <c r="M214" s="1" t="s">
        <v>579</v>
      </c>
      <c r="N214">
        <v>70</v>
      </c>
      <c r="O214">
        <v>4</v>
      </c>
      <c r="P214" t="s">
        <v>1083</v>
      </c>
      <c r="Q214" s="1" t="s">
        <v>1102</v>
      </c>
    </row>
    <row r="215" spans="1:17" x14ac:dyDescent="0.25">
      <c r="A215" s="1" t="s">
        <v>988</v>
      </c>
      <c r="B215" s="1" t="s">
        <v>429</v>
      </c>
      <c r="C215" s="1" t="s">
        <v>12</v>
      </c>
      <c r="D215" s="2">
        <v>45739</v>
      </c>
      <c r="E215" s="2">
        <v>45742</v>
      </c>
      <c r="F215" s="1" t="s">
        <v>1104</v>
      </c>
      <c r="G215" s="1" t="s">
        <v>43</v>
      </c>
      <c r="H215" s="1" t="s">
        <v>25</v>
      </c>
      <c r="I215">
        <v>12</v>
      </c>
      <c r="J215" s="1" t="s">
        <v>417</v>
      </c>
      <c r="K215" s="1" t="s">
        <v>13</v>
      </c>
      <c r="L215" s="1" t="s">
        <v>14</v>
      </c>
      <c r="M215" s="1" t="s">
        <v>647</v>
      </c>
      <c r="N215">
        <v>70</v>
      </c>
      <c r="O215">
        <v>3</v>
      </c>
      <c r="P215" t="s">
        <v>1099</v>
      </c>
      <c r="Q215" s="1" t="s">
        <v>1090</v>
      </c>
    </row>
    <row r="216" spans="1:17" x14ac:dyDescent="0.25">
      <c r="A216" s="1" t="s">
        <v>660</v>
      </c>
      <c r="B216" s="1" t="s">
        <v>162</v>
      </c>
      <c r="C216" s="1" t="s">
        <v>12</v>
      </c>
      <c r="D216" s="2">
        <v>46017</v>
      </c>
      <c r="E216" s="2">
        <v>46021</v>
      </c>
      <c r="F216" s="1" t="s">
        <v>1091</v>
      </c>
      <c r="G216" s="1" t="s">
        <v>163</v>
      </c>
      <c r="H216" s="1" t="s">
        <v>25</v>
      </c>
      <c r="I216">
        <v>47</v>
      </c>
      <c r="J216" s="1" t="s">
        <v>98</v>
      </c>
      <c r="K216" s="1" t="s">
        <v>13</v>
      </c>
      <c r="L216" s="1" t="s">
        <v>14</v>
      </c>
      <c r="M216" s="1" t="s">
        <v>661</v>
      </c>
      <c r="N216">
        <v>310</v>
      </c>
      <c r="O216">
        <v>4</v>
      </c>
      <c r="P216" t="s">
        <v>1092</v>
      </c>
      <c r="Q216" s="1" t="s">
        <v>1110</v>
      </c>
    </row>
    <row r="217" spans="1:17" x14ac:dyDescent="0.25">
      <c r="A217" s="1" t="s">
        <v>1047</v>
      </c>
      <c r="B217" s="1" t="s">
        <v>463</v>
      </c>
      <c r="C217" s="1" t="s">
        <v>12</v>
      </c>
      <c r="D217" s="2">
        <v>45767</v>
      </c>
      <c r="E217" s="2">
        <v>45771</v>
      </c>
      <c r="F217" s="1" t="s">
        <v>1091</v>
      </c>
      <c r="G217" s="1" t="s">
        <v>53</v>
      </c>
      <c r="H217" s="1" t="s">
        <v>29</v>
      </c>
      <c r="I217">
        <v>16</v>
      </c>
      <c r="J217" s="1" t="s">
        <v>449</v>
      </c>
      <c r="K217" s="1" t="s">
        <v>13</v>
      </c>
      <c r="L217" s="1" t="s">
        <v>14</v>
      </c>
      <c r="M217" s="1" t="s">
        <v>528</v>
      </c>
      <c r="N217">
        <v>320</v>
      </c>
      <c r="O217">
        <v>4</v>
      </c>
      <c r="P217" t="s">
        <v>1099</v>
      </c>
      <c r="Q217" s="1" t="s">
        <v>1094</v>
      </c>
    </row>
    <row r="218" spans="1:17" x14ac:dyDescent="0.25">
      <c r="A218" s="1" t="s">
        <v>1027</v>
      </c>
      <c r="B218" s="1" t="s">
        <v>453</v>
      </c>
      <c r="C218" s="1" t="s">
        <v>12</v>
      </c>
      <c r="D218" s="2">
        <v>45687</v>
      </c>
      <c r="E218" s="2">
        <v>45691</v>
      </c>
      <c r="F218" s="1" t="s">
        <v>1091</v>
      </c>
      <c r="G218" s="1" t="s">
        <v>296</v>
      </c>
      <c r="H218" s="1" t="s">
        <v>29</v>
      </c>
      <c r="I218">
        <v>19</v>
      </c>
      <c r="J218" s="1" t="s">
        <v>449</v>
      </c>
      <c r="K218" s="1" t="s">
        <v>13</v>
      </c>
      <c r="L218" s="1" t="s">
        <v>14</v>
      </c>
      <c r="M218" s="1" t="s">
        <v>492</v>
      </c>
      <c r="N218">
        <v>1300</v>
      </c>
      <c r="O218">
        <v>4</v>
      </c>
      <c r="P218" t="s">
        <v>1083</v>
      </c>
      <c r="Q218" s="1" t="s">
        <v>1084</v>
      </c>
    </row>
    <row r="219" spans="1:17" x14ac:dyDescent="0.25">
      <c r="A219" s="1" t="s">
        <v>1065</v>
      </c>
      <c r="B219" s="1" t="s">
        <v>472</v>
      </c>
      <c r="C219" s="1" t="s">
        <v>12</v>
      </c>
      <c r="D219" s="2">
        <v>45847</v>
      </c>
      <c r="E219" s="2">
        <v>45851</v>
      </c>
      <c r="F219" s="1" t="s">
        <v>1091</v>
      </c>
      <c r="G219" s="1" t="s">
        <v>73</v>
      </c>
      <c r="H219" s="1" t="s">
        <v>29</v>
      </c>
      <c r="I219">
        <v>18</v>
      </c>
      <c r="J219" s="1" t="s">
        <v>449</v>
      </c>
      <c r="K219" s="1" t="s">
        <v>13</v>
      </c>
      <c r="L219" s="1" t="s">
        <v>14</v>
      </c>
      <c r="M219" s="1" t="s">
        <v>564</v>
      </c>
      <c r="N219">
        <v>310</v>
      </c>
      <c r="O219">
        <v>4</v>
      </c>
      <c r="P219" t="s">
        <v>1099</v>
      </c>
      <c r="Q219" s="1" t="s">
        <v>1105</v>
      </c>
    </row>
    <row r="220" spans="1:17" x14ac:dyDescent="0.25">
      <c r="A220" s="1" t="s">
        <v>590</v>
      </c>
      <c r="B220" s="1" t="s">
        <v>103</v>
      </c>
      <c r="C220" s="1" t="s">
        <v>12</v>
      </c>
      <c r="D220" s="2">
        <v>45718</v>
      </c>
      <c r="E220" s="2">
        <v>45723</v>
      </c>
      <c r="F220" s="1" t="s">
        <v>1091</v>
      </c>
      <c r="G220" s="1" t="s">
        <v>104</v>
      </c>
      <c r="H220" s="1" t="s">
        <v>25</v>
      </c>
      <c r="I220">
        <v>53</v>
      </c>
      <c r="J220" s="1" t="s">
        <v>98</v>
      </c>
      <c r="K220" s="1" t="s">
        <v>13</v>
      </c>
      <c r="L220" s="1" t="s">
        <v>14</v>
      </c>
      <c r="M220" s="1" t="s">
        <v>492</v>
      </c>
      <c r="N220">
        <v>1300</v>
      </c>
      <c r="O220">
        <v>5</v>
      </c>
      <c r="P220" t="s">
        <v>1088</v>
      </c>
      <c r="Q220" s="1" t="s">
        <v>1090</v>
      </c>
    </row>
    <row r="221" spans="1:17" x14ac:dyDescent="0.25">
      <c r="A221" s="1" t="s">
        <v>1119</v>
      </c>
      <c r="B221" s="1" t="s">
        <v>468</v>
      </c>
      <c r="C221" s="1" t="s">
        <v>12</v>
      </c>
      <c r="D221" s="2">
        <v>45807</v>
      </c>
      <c r="E221" s="2">
        <v>45811</v>
      </c>
      <c r="F221" s="1" t="s">
        <v>1104</v>
      </c>
      <c r="G221" s="1" t="s">
        <v>63</v>
      </c>
      <c r="H221" s="1" t="s">
        <v>25</v>
      </c>
      <c r="I221">
        <v>31</v>
      </c>
      <c r="J221" s="1" t="s">
        <v>449</v>
      </c>
      <c r="K221" s="1" t="s">
        <v>13</v>
      </c>
      <c r="L221" s="1" t="s">
        <v>14</v>
      </c>
      <c r="M221" s="1"/>
      <c r="O221">
        <v>4</v>
      </c>
      <c r="P221" t="s">
        <v>1083</v>
      </c>
      <c r="Q221" s="1" t="s">
        <v>1097</v>
      </c>
    </row>
    <row r="222" spans="1:17" x14ac:dyDescent="0.25">
      <c r="A222" s="1" t="s">
        <v>1037</v>
      </c>
      <c r="B222" s="1" t="s">
        <v>458</v>
      </c>
      <c r="C222" s="1" t="s">
        <v>12</v>
      </c>
      <c r="D222" s="2">
        <v>45727</v>
      </c>
      <c r="E222" s="2">
        <v>45730</v>
      </c>
      <c r="F222" s="1" t="s">
        <v>1104</v>
      </c>
      <c r="G222" s="1" t="s">
        <v>43</v>
      </c>
      <c r="H222" s="1" t="s">
        <v>25</v>
      </c>
      <c r="I222">
        <v>12</v>
      </c>
      <c r="J222" s="1" t="s">
        <v>449</v>
      </c>
      <c r="K222" s="1" t="s">
        <v>13</v>
      </c>
      <c r="L222" s="1" t="s">
        <v>14</v>
      </c>
      <c r="M222" s="1" t="s">
        <v>647</v>
      </c>
      <c r="N222">
        <v>70</v>
      </c>
      <c r="O222">
        <v>3</v>
      </c>
      <c r="P222" t="s">
        <v>1099</v>
      </c>
      <c r="Q222" s="1" t="s">
        <v>1090</v>
      </c>
    </row>
    <row r="223" spans="1:17" x14ac:dyDescent="0.25">
      <c r="A223" s="1" t="s">
        <v>620</v>
      </c>
      <c r="B223" s="1" t="s">
        <v>133</v>
      </c>
      <c r="C223" s="1" t="s">
        <v>12</v>
      </c>
      <c r="D223" s="2">
        <v>45884</v>
      </c>
      <c r="E223" s="2">
        <v>45887</v>
      </c>
      <c r="F223" s="1" t="s">
        <v>1104</v>
      </c>
      <c r="G223" s="1" t="s">
        <v>134</v>
      </c>
      <c r="H223" s="1" t="s">
        <v>29</v>
      </c>
      <c r="I223">
        <v>15</v>
      </c>
      <c r="J223" s="1" t="s">
        <v>98</v>
      </c>
      <c r="K223" s="1" t="s">
        <v>13</v>
      </c>
      <c r="L223" s="1" t="s">
        <v>14</v>
      </c>
      <c r="M223" s="1" t="s">
        <v>501</v>
      </c>
      <c r="N223">
        <v>1250</v>
      </c>
      <c r="O223">
        <v>3</v>
      </c>
      <c r="P223" t="s">
        <v>1099</v>
      </c>
      <c r="Q223" s="1" t="s">
        <v>1106</v>
      </c>
    </row>
    <row r="224" spans="1:17" x14ac:dyDescent="0.25">
      <c r="A224" s="1" t="s">
        <v>620</v>
      </c>
      <c r="B224" s="1" t="s">
        <v>133</v>
      </c>
      <c r="C224" s="1" t="s">
        <v>12</v>
      </c>
      <c r="D224" s="2">
        <v>45884</v>
      </c>
      <c r="E224" s="2">
        <v>45887</v>
      </c>
      <c r="F224" s="1" t="s">
        <v>1104</v>
      </c>
      <c r="G224" s="1" t="s">
        <v>134</v>
      </c>
      <c r="H224" s="1" t="s">
        <v>29</v>
      </c>
      <c r="I224">
        <v>15</v>
      </c>
      <c r="J224" s="1" t="s">
        <v>98</v>
      </c>
      <c r="K224" s="1" t="s">
        <v>13</v>
      </c>
      <c r="L224" s="1" t="s">
        <v>14</v>
      </c>
      <c r="M224" s="1" t="s">
        <v>579</v>
      </c>
      <c r="N224">
        <v>70</v>
      </c>
      <c r="O224">
        <v>3</v>
      </c>
      <c r="P224" t="s">
        <v>1099</v>
      </c>
      <c r="Q224" s="1" t="s">
        <v>1106</v>
      </c>
    </row>
    <row r="225" spans="1:17" x14ac:dyDescent="0.25">
      <c r="A225" s="1" t="s">
        <v>600</v>
      </c>
      <c r="B225" s="1" t="s">
        <v>113</v>
      </c>
      <c r="C225" s="1" t="s">
        <v>12</v>
      </c>
      <c r="D225" s="2">
        <v>45775</v>
      </c>
      <c r="E225" s="2">
        <v>45778</v>
      </c>
      <c r="F225" s="1" t="s">
        <v>1104</v>
      </c>
      <c r="G225" s="1" t="s">
        <v>114</v>
      </c>
      <c r="H225" s="1" t="s">
        <v>29</v>
      </c>
      <c r="I225">
        <v>12</v>
      </c>
      <c r="J225" s="1" t="s">
        <v>98</v>
      </c>
      <c r="K225" s="1" t="s">
        <v>13</v>
      </c>
      <c r="L225" s="1" t="s">
        <v>14</v>
      </c>
      <c r="M225" s="1" t="s">
        <v>510</v>
      </c>
      <c r="N225">
        <v>75</v>
      </c>
      <c r="O225">
        <v>3</v>
      </c>
      <c r="P225" t="s">
        <v>1099</v>
      </c>
      <c r="Q225" s="1" t="s">
        <v>1094</v>
      </c>
    </row>
    <row r="226" spans="1:17" x14ac:dyDescent="0.25">
      <c r="A226" s="1" t="s">
        <v>479</v>
      </c>
      <c r="B226" s="1" t="s">
        <v>23</v>
      </c>
      <c r="C226" s="1" t="s">
        <v>3</v>
      </c>
      <c r="D226" s="2">
        <v>45671</v>
      </c>
      <c r="E226" s="2">
        <v>45675</v>
      </c>
      <c r="F226" s="1" t="s">
        <v>1082</v>
      </c>
      <c r="G226" s="1" t="s">
        <v>24</v>
      </c>
      <c r="H226" s="1" t="s">
        <v>25</v>
      </c>
      <c r="I226">
        <v>34</v>
      </c>
      <c r="J226" s="1" t="s">
        <v>26</v>
      </c>
      <c r="K226" s="1" t="s">
        <v>4</v>
      </c>
      <c r="L226" s="1" t="s">
        <v>5</v>
      </c>
      <c r="M226" s="1" t="s">
        <v>480</v>
      </c>
      <c r="N226">
        <v>120</v>
      </c>
      <c r="O226">
        <v>4</v>
      </c>
      <c r="P226" t="s">
        <v>1083</v>
      </c>
      <c r="Q226" s="1" t="s">
        <v>1084</v>
      </c>
    </row>
    <row r="227" spans="1:17" x14ac:dyDescent="0.25">
      <c r="A227" s="1" t="s">
        <v>494</v>
      </c>
      <c r="B227" s="1" t="s">
        <v>36</v>
      </c>
      <c r="C227" s="1" t="s">
        <v>3</v>
      </c>
      <c r="D227" s="2">
        <v>45749</v>
      </c>
      <c r="E227" s="2">
        <v>45753</v>
      </c>
      <c r="F227" s="1" t="s">
        <v>1093</v>
      </c>
      <c r="G227" s="1" t="s">
        <v>37</v>
      </c>
      <c r="H227" s="1" t="s">
        <v>29</v>
      </c>
      <c r="I227">
        <v>33</v>
      </c>
      <c r="J227" s="1" t="s">
        <v>26</v>
      </c>
      <c r="K227" s="1" t="s">
        <v>4</v>
      </c>
      <c r="L227" s="1" t="s">
        <v>5</v>
      </c>
      <c r="M227" s="1" t="s">
        <v>495</v>
      </c>
      <c r="N227">
        <v>150</v>
      </c>
      <c r="O227">
        <v>4</v>
      </c>
      <c r="P227" t="s">
        <v>1083</v>
      </c>
      <c r="Q227" s="1" t="s">
        <v>1094</v>
      </c>
    </row>
    <row r="228" spans="1:17" x14ac:dyDescent="0.25">
      <c r="A228" s="1" t="s">
        <v>509</v>
      </c>
      <c r="B228" s="1" t="s">
        <v>46</v>
      </c>
      <c r="C228" s="1" t="s">
        <v>3</v>
      </c>
      <c r="D228" s="2">
        <v>45809</v>
      </c>
      <c r="E228" s="2">
        <v>45813</v>
      </c>
      <c r="F228" s="1" t="s">
        <v>1101</v>
      </c>
      <c r="G228" s="1" t="s">
        <v>47</v>
      </c>
      <c r="H228" s="1" t="s">
        <v>25</v>
      </c>
      <c r="I228">
        <v>37</v>
      </c>
      <c r="J228" s="1" t="s">
        <v>26</v>
      </c>
      <c r="K228" s="1" t="s">
        <v>4</v>
      </c>
      <c r="L228" s="1" t="s">
        <v>5</v>
      </c>
      <c r="M228" s="1" t="s">
        <v>510</v>
      </c>
      <c r="N228">
        <v>75</v>
      </c>
      <c r="O228">
        <v>4</v>
      </c>
      <c r="P228" t="s">
        <v>1092</v>
      </c>
      <c r="Q228" s="1" t="s">
        <v>1102</v>
      </c>
    </row>
    <row r="229" spans="1:17" x14ac:dyDescent="0.25">
      <c r="A229" s="1" t="s">
        <v>524</v>
      </c>
      <c r="B229" s="1" t="s">
        <v>56</v>
      </c>
      <c r="C229" s="1" t="s">
        <v>3</v>
      </c>
      <c r="D229" s="2">
        <v>45858</v>
      </c>
      <c r="E229" s="2">
        <v>45862</v>
      </c>
      <c r="F229" s="1" t="s">
        <v>1082</v>
      </c>
      <c r="G229" s="1" t="s">
        <v>57</v>
      </c>
      <c r="H229" s="1" t="s">
        <v>29</v>
      </c>
      <c r="I229">
        <v>38</v>
      </c>
      <c r="J229" s="1" t="s">
        <v>26</v>
      </c>
      <c r="K229" s="1" t="s">
        <v>4</v>
      </c>
      <c r="L229" s="1" t="s">
        <v>5</v>
      </c>
      <c r="M229" s="1" t="s">
        <v>525</v>
      </c>
      <c r="N229">
        <v>130</v>
      </c>
      <c r="O229">
        <v>4</v>
      </c>
      <c r="P229" t="s">
        <v>1092</v>
      </c>
      <c r="Q229" s="1" t="s">
        <v>1105</v>
      </c>
    </row>
    <row r="230" spans="1:17" x14ac:dyDescent="0.25">
      <c r="A230" s="1" t="s">
        <v>539</v>
      </c>
      <c r="B230" s="1" t="s">
        <v>66</v>
      </c>
      <c r="C230" s="1" t="s">
        <v>3</v>
      </c>
      <c r="D230" s="2">
        <v>45910</v>
      </c>
      <c r="E230" s="2">
        <v>45914</v>
      </c>
      <c r="F230" s="1" t="s">
        <v>1093</v>
      </c>
      <c r="G230" s="1" t="s">
        <v>67</v>
      </c>
      <c r="H230" s="1" t="s">
        <v>25</v>
      </c>
      <c r="I230">
        <v>55</v>
      </c>
      <c r="J230" s="1" t="s">
        <v>26</v>
      </c>
      <c r="K230" s="1" t="s">
        <v>4</v>
      </c>
      <c r="L230" s="1" t="s">
        <v>5</v>
      </c>
      <c r="M230" s="1" t="s">
        <v>540</v>
      </c>
      <c r="N230">
        <v>160</v>
      </c>
      <c r="O230">
        <v>4</v>
      </c>
      <c r="P230" t="s">
        <v>1088</v>
      </c>
      <c r="Q230" s="1" t="s">
        <v>1107</v>
      </c>
    </row>
    <row r="231" spans="1:17" x14ac:dyDescent="0.25">
      <c r="A231" s="1" t="s">
        <v>554</v>
      </c>
      <c r="B231" s="1" t="s">
        <v>76</v>
      </c>
      <c r="C231" s="1" t="s">
        <v>3</v>
      </c>
      <c r="D231" s="2">
        <v>45955</v>
      </c>
      <c r="E231" s="2">
        <v>45959</v>
      </c>
      <c r="F231" s="1" t="s">
        <v>1103</v>
      </c>
      <c r="G231" s="1" t="s">
        <v>77</v>
      </c>
      <c r="H231" s="1" t="s">
        <v>29</v>
      </c>
      <c r="I231">
        <v>36</v>
      </c>
      <c r="J231" s="1" t="s">
        <v>26</v>
      </c>
      <c r="K231" s="1" t="s">
        <v>4</v>
      </c>
      <c r="L231" s="1" t="s">
        <v>5</v>
      </c>
      <c r="M231" s="1" t="s">
        <v>555</v>
      </c>
      <c r="N231">
        <v>330</v>
      </c>
      <c r="O231">
        <v>4</v>
      </c>
      <c r="P231" t="s">
        <v>1092</v>
      </c>
      <c r="Q231" s="1" t="s">
        <v>1108</v>
      </c>
    </row>
    <row r="232" spans="1:17" x14ac:dyDescent="0.25">
      <c r="A232" s="1" t="s">
        <v>569</v>
      </c>
      <c r="B232" s="1" t="s">
        <v>86</v>
      </c>
      <c r="C232" s="1" t="s">
        <v>3</v>
      </c>
      <c r="D232" s="2">
        <v>45992</v>
      </c>
      <c r="E232" s="2">
        <v>45995</v>
      </c>
      <c r="F232" s="1" t="s">
        <v>1089</v>
      </c>
      <c r="G232" s="1" t="s">
        <v>87</v>
      </c>
      <c r="H232" s="1" t="s">
        <v>25</v>
      </c>
      <c r="I232">
        <v>39</v>
      </c>
      <c r="J232" s="1" t="s">
        <v>26</v>
      </c>
      <c r="K232" s="1" t="s">
        <v>4</v>
      </c>
      <c r="L232" s="1" t="s">
        <v>5</v>
      </c>
      <c r="M232" s="1" t="s">
        <v>570</v>
      </c>
      <c r="N232">
        <v>60</v>
      </c>
      <c r="O232">
        <v>3</v>
      </c>
      <c r="P232" t="s">
        <v>1092</v>
      </c>
      <c r="Q232" s="1" t="s">
        <v>1110</v>
      </c>
    </row>
    <row r="233" spans="1:17" x14ac:dyDescent="0.25">
      <c r="A233" s="1" t="s">
        <v>745</v>
      </c>
      <c r="B233" s="1" t="s">
        <v>239</v>
      </c>
      <c r="C233" s="1" t="s">
        <v>3</v>
      </c>
      <c r="D233" s="2">
        <v>45675</v>
      </c>
      <c r="E233" s="2">
        <v>45678</v>
      </c>
      <c r="F233" s="1" t="s">
        <v>1085</v>
      </c>
      <c r="G233" s="1" t="s">
        <v>240</v>
      </c>
      <c r="H233" s="1" t="s">
        <v>29</v>
      </c>
      <c r="I233">
        <v>28</v>
      </c>
      <c r="J233" s="1" t="s">
        <v>238</v>
      </c>
      <c r="K233" s="1" t="s">
        <v>4</v>
      </c>
      <c r="L233" s="1" t="s">
        <v>5</v>
      </c>
      <c r="M233" s="1" t="s">
        <v>483</v>
      </c>
      <c r="N233">
        <v>85</v>
      </c>
      <c r="O233">
        <v>3</v>
      </c>
      <c r="P233" t="s">
        <v>1083</v>
      </c>
      <c r="Q233" s="1" t="s">
        <v>1084</v>
      </c>
    </row>
    <row r="234" spans="1:17" x14ac:dyDescent="0.25">
      <c r="A234" s="1" t="s">
        <v>755</v>
      </c>
      <c r="B234" s="1" t="s">
        <v>246</v>
      </c>
      <c r="C234" s="1" t="s">
        <v>3</v>
      </c>
      <c r="D234" s="2">
        <v>45726</v>
      </c>
      <c r="E234" s="2">
        <v>45730</v>
      </c>
      <c r="F234" s="1" t="s">
        <v>1093</v>
      </c>
      <c r="G234" s="1" t="s">
        <v>39</v>
      </c>
      <c r="H234" s="1" t="s">
        <v>25</v>
      </c>
      <c r="I234">
        <v>60</v>
      </c>
      <c r="J234" s="1" t="s">
        <v>238</v>
      </c>
      <c r="K234" s="1" t="s">
        <v>4</v>
      </c>
      <c r="L234" s="1" t="s">
        <v>5</v>
      </c>
      <c r="M234" s="1" t="s">
        <v>540</v>
      </c>
      <c r="N234">
        <v>160</v>
      </c>
      <c r="O234">
        <v>4</v>
      </c>
      <c r="P234" t="s">
        <v>1088</v>
      </c>
      <c r="Q234" s="1" t="s">
        <v>1090</v>
      </c>
    </row>
    <row r="235" spans="1:17" x14ac:dyDescent="0.25">
      <c r="A235" s="1" t="s">
        <v>793</v>
      </c>
      <c r="B235" s="1" t="s">
        <v>266</v>
      </c>
      <c r="C235" s="1" t="s">
        <v>3</v>
      </c>
      <c r="D235" s="2">
        <v>45897</v>
      </c>
      <c r="E235" s="2">
        <v>45901</v>
      </c>
      <c r="F235" s="1" t="s">
        <v>1082</v>
      </c>
      <c r="G235" s="1" t="s">
        <v>79</v>
      </c>
      <c r="H235" s="1" t="s">
        <v>25</v>
      </c>
      <c r="I235">
        <v>43</v>
      </c>
      <c r="J235" s="1" t="s">
        <v>238</v>
      </c>
      <c r="K235" s="1" t="s">
        <v>4</v>
      </c>
      <c r="L235" s="1" t="s">
        <v>5</v>
      </c>
      <c r="M235" s="1" t="s">
        <v>732</v>
      </c>
      <c r="N235">
        <v>115</v>
      </c>
      <c r="O235">
        <v>4</v>
      </c>
      <c r="P235" t="s">
        <v>1092</v>
      </c>
      <c r="Q235" s="1" t="s">
        <v>1106</v>
      </c>
    </row>
    <row r="236" spans="1:17" x14ac:dyDescent="0.25">
      <c r="A236" s="1" t="s">
        <v>700</v>
      </c>
      <c r="B236" s="1" t="s">
        <v>201</v>
      </c>
      <c r="C236" s="1" t="s">
        <v>3</v>
      </c>
      <c r="D236" s="2">
        <v>45843</v>
      </c>
      <c r="E236" s="2">
        <v>45847</v>
      </c>
      <c r="F236" s="1" t="s">
        <v>1085</v>
      </c>
      <c r="G236" s="1" t="s">
        <v>202</v>
      </c>
      <c r="H236" s="1" t="s">
        <v>25</v>
      </c>
      <c r="I236">
        <v>38</v>
      </c>
      <c r="J236" s="1" t="s">
        <v>168</v>
      </c>
      <c r="K236" s="1" t="s">
        <v>4</v>
      </c>
      <c r="L236" s="1" t="s">
        <v>5</v>
      </c>
      <c r="M236" s="1" t="s">
        <v>534</v>
      </c>
      <c r="N236">
        <v>70</v>
      </c>
      <c r="O236">
        <v>4</v>
      </c>
      <c r="P236" t="s">
        <v>1092</v>
      </c>
      <c r="Q236" s="1" t="s">
        <v>1105</v>
      </c>
    </row>
    <row r="237" spans="1:17" x14ac:dyDescent="0.25">
      <c r="A237" s="1" t="s">
        <v>736</v>
      </c>
      <c r="B237" s="1" t="s">
        <v>231</v>
      </c>
      <c r="C237" s="1" t="s">
        <v>3</v>
      </c>
      <c r="D237" s="2">
        <v>45989</v>
      </c>
      <c r="E237" s="2">
        <v>45993</v>
      </c>
      <c r="F237" s="1" t="s">
        <v>1104</v>
      </c>
      <c r="G237" s="1" t="s">
        <v>232</v>
      </c>
      <c r="H237" s="1" t="s">
        <v>29</v>
      </c>
      <c r="I237">
        <v>30</v>
      </c>
      <c r="J237" s="1" t="s">
        <v>168</v>
      </c>
      <c r="K237" s="1" t="s">
        <v>4</v>
      </c>
      <c r="L237" s="1" t="s">
        <v>5</v>
      </c>
      <c r="M237" s="1" t="s">
        <v>737</v>
      </c>
      <c r="N237">
        <v>70</v>
      </c>
      <c r="O237">
        <v>4</v>
      </c>
      <c r="P237" t="s">
        <v>1083</v>
      </c>
      <c r="Q237" s="1" t="s">
        <v>1109</v>
      </c>
    </row>
    <row r="238" spans="1:17" x14ac:dyDescent="0.25">
      <c r="A238" s="1" t="s">
        <v>722</v>
      </c>
      <c r="B238" s="1" t="s">
        <v>221</v>
      </c>
      <c r="C238" s="1" t="s">
        <v>3</v>
      </c>
      <c r="D238" s="2">
        <v>45940</v>
      </c>
      <c r="E238" s="2">
        <v>45944</v>
      </c>
      <c r="F238" s="1" t="s">
        <v>1093</v>
      </c>
      <c r="G238" s="1" t="s">
        <v>222</v>
      </c>
      <c r="H238" s="1" t="s">
        <v>25</v>
      </c>
      <c r="I238">
        <v>43</v>
      </c>
      <c r="J238" s="1" t="s">
        <v>168</v>
      </c>
      <c r="K238" s="1" t="s">
        <v>4</v>
      </c>
      <c r="L238" s="1" t="s">
        <v>5</v>
      </c>
      <c r="M238" s="1" t="s">
        <v>723</v>
      </c>
      <c r="N238">
        <v>160</v>
      </c>
      <c r="O238">
        <v>4</v>
      </c>
      <c r="P238" t="s">
        <v>1092</v>
      </c>
      <c r="Q238" s="1" t="s">
        <v>1108</v>
      </c>
    </row>
    <row r="239" spans="1:17" x14ac:dyDescent="0.25">
      <c r="A239" s="1" t="s">
        <v>711</v>
      </c>
      <c r="B239" s="1" t="s">
        <v>211</v>
      </c>
      <c r="C239" s="1" t="s">
        <v>3</v>
      </c>
      <c r="D239" s="2">
        <v>45893</v>
      </c>
      <c r="E239" s="2">
        <v>45897</v>
      </c>
      <c r="F239" s="1" t="s">
        <v>1085</v>
      </c>
      <c r="G239" s="1" t="s">
        <v>212</v>
      </c>
      <c r="H239" s="1" t="s">
        <v>29</v>
      </c>
      <c r="I239">
        <v>34</v>
      </c>
      <c r="J239" s="1" t="s">
        <v>168</v>
      </c>
      <c r="K239" s="1" t="s">
        <v>4</v>
      </c>
      <c r="L239" s="1" t="s">
        <v>5</v>
      </c>
      <c r="M239" s="1" t="s">
        <v>641</v>
      </c>
      <c r="N239">
        <v>80</v>
      </c>
      <c r="O239">
        <v>4</v>
      </c>
      <c r="P239" t="s">
        <v>1083</v>
      </c>
      <c r="Q239" s="1" t="s">
        <v>1106</v>
      </c>
    </row>
    <row r="240" spans="1:17" x14ac:dyDescent="0.25">
      <c r="A240" s="1" t="s">
        <v>670</v>
      </c>
      <c r="B240" s="1" t="s">
        <v>171</v>
      </c>
      <c r="C240" s="1" t="s">
        <v>3</v>
      </c>
      <c r="D240" s="2">
        <v>45691</v>
      </c>
      <c r="E240" s="2">
        <v>45694</v>
      </c>
      <c r="F240" s="1" t="s">
        <v>1082</v>
      </c>
      <c r="G240" s="1" t="s">
        <v>172</v>
      </c>
      <c r="H240" s="1" t="s">
        <v>29</v>
      </c>
      <c r="I240">
        <v>18</v>
      </c>
      <c r="J240" s="1" t="s">
        <v>168</v>
      </c>
      <c r="K240" s="1" t="s">
        <v>4</v>
      </c>
      <c r="L240" s="1" t="s">
        <v>5</v>
      </c>
      <c r="M240" s="1" t="s">
        <v>480</v>
      </c>
      <c r="N240">
        <v>120</v>
      </c>
      <c r="O240">
        <v>3</v>
      </c>
      <c r="P240" t="s">
        <v>1099</v>
      </c>
      <c r="Q240" s="1" t="s">
        <v>1086</v>
      </c>
    </row>
    <row r="241" spans="1:17" x14ac:dyDescent="0.25">
      <c r="A241" s="1" t="s">
        <v>690</v>
      </c>
      <c r="B241" s="1" t="s">
        <v>191</v>
      </c>
      <c r="C241" s="1" t="s">
        <v>3</v>
      </c>
      <c r="D241" s="2">
        <v>45797</v>
      </c>
      <c r="E241" s="2">
        <v>45800</v>
      </c>
      <c r="F241" s="1" t="s">
        <v>1082</v>
      </c>
      <c r="G241" s="1" t="s">
        <v>192</v>
      </c>
      <c r="H241" s="1" t="s">
        <v>29</v>
      </c>
      <c r="I241">
        <v>16</v>
      </c>
      <c r="J241" s="1" t="s">
        <v>168</v>
      </c>
      <c r="K241" s="1" t="s">
        <v>4</v>
      </c>
      <c r="L241" s="1" t="s">
        <v>5</v>
      </c>
      <c r="M241" s="1" t="s">
        <v>567</v>
      </c>
      <c r="N241">
        <v>115</v>
      </c>
      <c r="O241">
        <v>3</v>
      </c>
      <c r="P241" t="s">
        <v>1099</v>
      </c>
      <c r="Q241" s="1" t="s">
        <v>1097</v>
      </c>
    </row>
    <row r="242" spans="1:17" x14ac:dyDescent="0.25">
      <c r="A242" s="1" t="s">
        <v>680</v>
      </c>
      <c r="B242" s="1" t="s">
        <v>181</v>
      </c>
      <c r="C242" s="1" t="s">
        <v>3</v>
      </c>
      <c r="D242" s="2">
        <v>45744</v>
      </c>
      <c r="E242" s="2">
        <v>45748</v>
      </c>
      <c r="F242" s="1" t="s">
        <v>1095</v>
      </c>
      <c r="G242" s="1" t="s">
        <v>182</v>
      </c>
      <c r="H242" s="1" t="s">
        <v>25</v>
      </c>
      <c r="I242">
        <v>45</v>
      </c>
      <c r="J242" s="1" t="s">
        <v>168</v>
      </c>
      <c r="K242" s="1" t="s">
        <v>4</v>
      </c>
      <c r="L242" s="1" t="s">
        <v>5</v>
      </c>
      <c r="M242" s="1" t="s">
        <v>543</v>
      </c>
      <c r="N242">
        <v>210</v>
      </c>
      <c r="O242">
        <v>4</v>
      </c>
      <c r="P242" t="s">
        <v>1092</v>
      </c>
      <c r="Q242" s="1" t="s">
        <v>1090</v>
      </c>
    </row>
    <row r="243" spans="1:17" x14ac:dyDescent="0.25">
      <c r="A243" s="1" t="s">
        <v>783</v>
      </c>
      <c r="B243" s="1" t="s">
        <v>261</v>
      </c>
      <c r="C243" s="1" t="s">
        <v>3</v>
      </c>
      <c r="D243" s="2">
        <v>45858</v>
      </c>
      <c r="E243" s="2">
        <v>45862</v>
      </c>
      <c r="F243" s="1" t="s">
        <v>1095</v>
      </c>
      <c r="G243" s="1" t="s">
        <v>69</v>
      </c>
      <c r="H243" s="1" t="s">
        <v>29</v>
      </c>
      <c r="I243">
        <v>40</v>
      </c>
      <c r="J243" s="1" t="s">
        <v>238</v>
      </c>
      <c r="K243" s="1" t="s">
        <v>4</v>
      </c>
      <c r="L243" s="1" t="s">
        <v>5</v>
      </c>
      <c r="M243" s="1" t="s">
        <v>576</v>
      </c>
      <c r="N243">
        <v>140</v>
      </c>
      <c r="O243">
        <v>4</v>
      </c>
      <c r="P243" t="s">
        <v>1092</v>
      </c>
      <c r="Q243" s="1" t="s">
        <v>1105</v>
      </c>
    </row>
    <row r="244" spans="1:17" x14ac:dyDescent="0.25">
      <c r="A244" s="1" t="s">
        <v>775</v>
      </c>
      <c r="B244" s="1" t="s">
        <v>256</v>
      </c>
      <c r="C244" s="1" t="s">
        <v>3</v>
      </c>
      <c r="D244" s="2">
        <v>45818</v>
      </c>
      <c r="E244" s="2">
        <v>45822</v>
      </c>
      <c r="F244" s="1" t="s">
        <v>1082</v>
      </c>
      <c r="G244" s="1" t="s">
        <v>59</v>
      </c>
      <c r="H244" s="1" t="s">
        <v>25</v>
      </c>
      <c r="I244">
        <v>27</v>
      </c>
      <c r="J244" s="1" t="s">
        <v>238</v>
      </c>
      <c r="K244" s="1" t="s">
        <v>4</v>
      </c>
      <c r="L244" s="1" t="s">
        <v>5</v>
      </c>
      <c r="M244" s="1" t="s">
        <v>567</v>
      </c>
      <c r="N244">
        <v>115</v>
      </c>
      <c r="O244">
        <v>4</v>
      </c>
      <c r="P244" t="s">
        <v>1083</v>
      </c>
      <c r="Q244" s="1" t="s">
        <v>1102</v>
      </c>
    </row>
    <row r="245" spans="1:17" x14ac:dyDescent="0.25">
      <c r="A245" s="1" t="s">
        <v>765</v>
      </c>
      <c r="B245" s="1" t="s">
        <v>251</v>
      </c>
      <c r="C245" s="1" t="s">
        <v>3</v>
      </c>
      <c r="D245" s="2">
        <v>45775</v>
      </c>
      <c r="E245" s="2">
        <v>45779</v>
      </c>
      <c r="F245" s="1" t="s">
        <v>1085</v>
      </c>
      <c r="G245" s="1" t="s">
        <v>49</v>
      </c>
      <c r="H245" s="1" t="s">
        <v>29</v>
      </c>
      <c r="I245">
        <v>29</v>
      </c>
      <c r="J245" s="1" t="s">
        <v>238</v>
      </c>
      <c r="K245" s="1" t="s">
        <v>4</v>
      </c>
      <c r="L245" s="1" t="s">
        <v>5</v>
      </c>
      <c r="M245" s="1" t="s">
        <v>513</v>
      </c>
      <c r="N245">
        <v>80</v>
      </c>
      <c r="O245">
        <v>4</v>
      </c>
      <c r="P245" t="s">
        <v>1083</v>
      </c>
      <c r="Q245" s="1" t="s">
        <v>1094</v>
      </c>
    </row>
    <row r="246" spans="1:17" x14ac:dyDescent="0.25">
      <c r="A246" s="1" t="s">
        <v>616</v>
      </c>
      <c r="B246" s="1" t="s">
        <v>129</v>
      </c>
      <c r="C246" s="1" t="s">
        <v>3</v>
      </c>
      <c r="D246" s="2">
        <v>45863</v>
      </c>
      <c r="E246" s="2">
        <v>45867</v>
      </c>
      <c r="F246" s="1" t="s">
        <v>1082</v>
      </c>
      <c r="G246" s="1" t="s">
        <v>130</v>
      </c>
      <c r="H246" s="1" t="s">
        <v>29</v>
      </c>
      <c r="I246">
        <v>22</v>
      </c>
      <c r="J246" s="1" t="s">
        <v>98</v>
      </c>
      <c r="K246" s="1" t="s">
        <v>4</v>
      </c>
      <c r="L246" s="1" t="s">
        <v>5</v>
      </c>
      <c r="M246" s="1" t="s">
        <v>567</v>
      </c>
      <c r="N246">
        <v>115</v>
      </c>
      <c r="O246">
        <v>4</v>
      </c>
      <c r="P246" t="s">
        <v>1083</v>
      </c>
      <c r="Q246" s="1" t="s">
        <v>1105</v>
      </c>
    </row>
    <row r="247" spans="1:17" x14ac:dyDescent="0.25">
      <c r="A247" s="1" t="s">
        <v>627</v>
      </c>
      <c r="B247" s="1" t="s">
        <v>139</v>
      </c>
      <c r="C247" s="1" t="s">
        <v>3</v>
      </c>
      <c r="D247" s="2">
        <v>45918</v>
      </c>
      <c r="E247" s="2">
        <v>45922</v>
      </c>
      <c r="F247" s="1" t="s">
        <v>1095</v>
      </c>
      <c r="G247" s="1" t="s">
        <v>140</v>
      </c>
      <c r="H247" s="1" t="s">
        <v>25</v>
      </c>
      <c r="I247">
        <v>50</v>
      </c>
      <c r="J247" s="1" t="s">
        <v>98</v>
      </c>
      <c r="K247" s="1" t="s">
        <v>4</v>
      </c>
      <c r="L247" s="1" t="s">
        <v>5</v>
      </c>
      <c r="M247" s="1" t="s">
        <v>576</v>
      </c>
      <c r="N247">
        <v>140</v>
      </c>
      <c r="O247">
        <v>4</v>
      </c>
      <c r="P247" t="s">
        <v>1092</v>
      </c>
      <c r="Q247" s="1" t="s">
        <v>1107</v>
      </c>
    </row>
    <row r="248" spans="1:17" x14ac:dyDescent="0.25">
      <c r="A248" s="1" t="s">
        <v>830</v>
      </c>
      <c r="B248" s="1" t="s">
        <v>301</v>
      </c>
      <c r="C248" s="1" t="s">
        <v>3</v>
      </c>
      <c r="D248" s="2">
        <v>45822</v>
      </c>
      <c r="E248" s="2">
        <v>45826</v>
      </c>
      <c r="F248" s="1" t="s">
        <v>1085</v>
      </c>
      <c r="G248" s="1" t="s">
        <v>302</v>
      </c>
      <c r="H248" s="1" t="s">
        <v>29</v>
      </c>
      <c r="I248">
        <v>45</v>
      </c>
      <c r="J248" s="1" t="s">
        <v>271</v>
      </c>
      <c r="K248" s="1" t="s">
        <v>4</v>
      </c>
      <c r="L248" s="1" t="s">
        <v>5</v>
      </c>
      <c r="M248" s="1" t="s">
        <v>534</v>
      </c>
      <c r="N248">
        <v>70</v>
      </c>
      <c r="O248">
        <v>4</v>
      </c>
      <c r="P248" t="s">
        <v>1092</v>
      </c>
      <c r="Q248" s="1" t="s">
        <v>1102</v>
      </c>
    </row>
    <row r="249" spans="1:17" x14ac:dyDescent="0.25">
      <c r="A249" s="1" t="s">
        <v>1112</v>
      </c>
      <c r="B249" s="1" t="s">
        <v>283</v>
      </c>
      <c r="C249" s="1" t="s">
        <v>3</v>
      </c>
      <c r="D249" s="2">
        <v>45734</v>
      </c>
      <c r="E249" s="2">
        <v>45738</v>
      </c>
      <c r="F249" s="1" t="s">
        <v>1095</v>
      </c>
      <c r="G249" s="1" t="s">
        <v>284</v>
      </c>
      <c r="H249" s="1" t="s">
        <v>29</v>
      </c>
      <c r="I249">
        <v>25</v>
      </c>
      <c r="J249" s="1" t="s">
        <v>271</v>
      </c>
      <c r="K249" s="1" t="s">
        <v>4</v>
      </c>
      <c r="L249" s="1" t="s">
        <v>5</v>
      </c>
      <c r="M249" s="1"/>
      <c r="O249">
        <v>4</v>
      </c>
      <c r="P249" t="s">
        <v>1083</v>
      </c>
      <c r="Q249" s="1" t="s">
        <v>1090</v>
      </c>
    </row>
    <row r="250" spans="1:17" x14ac:dyDescent="0.25">
      <c r="A250" s="1" t="s">
        <v>840</v>
      </c>
      <c r="B250" s="1" t="s">
        <v>123</v>
      </c>
      <c r="C250" s="1" t="s">
        <v>3</v>
      </c>
      <c r="D250" s="2">
        <v>45864</v>
      </c>
      <c r="E250" s="2">
        <v>45868</v>
      </c>
      <c r="F250" s="1" t="s">
        <v>1093</v>
      </c>
      <c r="G250" s="1" t="s">
        <v>124</v>
      </c>
      <c r="H250" s="1" t="s">
        <v>25</v>
      </c>
      <c r="I250">
        <v>27</v>
      </c>
      <c r="J250" s="1" t="s">
        <v>98</v>
      </c>
      <c r="K250" s="1" t="s">
        <v>4</v>
      </c>
      <c r="L250" s="1" t="s">
        <v>5</v>
      </c>
      <c r="M250" s="1" t="s">
        <v>723</v>
      </c>
      <c r="N250">
        <v>160</v>
      </c>
      <c r="O250">
        <v>4</v>
      </c>
      <c r="P250" t="s">
        <v>1083</v>
      </c>
      <c r="Q250" s="1" t="s">
        <v>1105</v>
      </c>
    </row>
    <row r="251" spans="1:17" x14ac:dyDescent="0.25">
      <c r="A251" s="1" t="s">
        <v>821</v>
      </c>
      <c r="B251" s="1" t="s">
        <v>293</v>
      </c>
      <c r="C251" s="1" t="s">
        <v>3</v>
      </c>
      <c r="D251" s="2">
        <v>45780</v>
      </c>
      <c r="E251" s="2">
        <v>45784</v>
      </c>
      <c r="F251" s="1" t="s">
        <v>1103</v>
      </c>
      <c r="G251" s="1" t="s">
        <v>294</v>
      </c>
      <c r="H251" s="1" t="s">
        <v>25</v>
      </c>
      <c r="I251">
        <v>50</v>
      </c>
      <c r="J251" s="1" t="s">
        <v>271</v>
      </c>
      <c r="K251" s="1" t="s">
        <v>4</v>
      </c>
      <c r="L251" s="1" t="s">
        <v>5</v>
      </c>
      <c r="M251" s="1" t="s">
        <v>516</v>
      </c>
      <c r="N251">
        <v>330</v>
      </c>
      <c r="O251">
        <v>4</v>
      </c>
      <c r="P251" t="s">
        <v>1092</v>
      </c>
      <c r="Q251" s="1" t="s">
        <v>1097</v>
      </c>
    </row>
    <row r="252" spans="1:17" x14ac:dyDescent="0.25">
      <c r="A252" s="1" t="s">
        <v>803</v>
      </c>
      <c r="B252" s="1" t="s">
        <v>274</v>
      </c>
      <c r="C252" s="1" t="s">
        <v>3</v>
      </c>
      <c r="D252" s="2">
        <v>45690</v>
      </c>
      <c r="E252" s="2">
        <v>45694</v>
      </c>
      <c r="F252" s="1" t="s">
        <v>1082</v>
      </c>
      <c r="G252" s="1" t="s">
        <v>275</v>
      </c>
      <c r="H252" s="1" t="s">
        <v>25</v>
      </c>
      <c r="I252">
        <v>52</v>
      </c>
      <c r="J252" s="1" t="s">
        <v>271</v>
      </c>
      <c r="K252" s="1" t="s">
        <v>4</v>
      </c>
      <c r="L252" s="1" t="s">
        <v>5</v>
      </c>
      <c r="M252" s="1" t="s">
        <v>480</v>
      </c>
      <c r="N252">
        <v>120</v>
      </c>
      <c r="O252">
        <v>4</v>
      </c>
      <c r="P252" t="s">
        <v>1088</v>
      </c>
      <c r="Q252" s="1" t="s">
        <v>1086</v>
      </c>
    </row>
    <row r="253" spans="1:17" x14ac:dyDescent="0.25">
      <c r="A253" s="1" t="s">
        <v>1113</v>
      </c>
      <c r="B253" s="1" t="s">
        <v>336</v>
      </c>
      <c r="C253" s="1" t="s">
        <v>3</v>
      </c>
      <c r="D253" s="2">
        <v>45765</v>
      </c>
      <c r="E253" s="2">
        <v>45769</v>
      </c>
      <c r="F253" s="1" t="s">
        <v>1103</v>
      </c>
      <c r="G253" s="1" t="s">
        <v>337</v>
      </c>
      <c r="H253" s="1" t="s">
        <v>29</v>
      </c>
      <c r="I253">
        <v>16</v>
      </c>
      <c r="J253" s="1" t="s">
        <v>315</v>
      </c>
      <c r="K253" s="1" t="s">
        <v>4</v>
      </c>
      <c r="L253" s="1" t="s">
        <v>5</v>
      </c>
      <c r="M253" s="1"/>
      <c r="O253">
        <v>4</v>
      </c>
      <c r="P253" t="s">
        <v>1099</v>
      </c>
      <c r="Q253" s="1" t="s">
        <v>1094</v>
      </c>
    </row>
    <row r="254" spans="1:17" x14ac:dyDescent="0.25">
      <c r="A254" s="1" t="s">
        <v>852</v>
      </c>
      <c r="B254" s="1" t="s">
        <v>318</v>
      </c>
      <c r="C254" s="1" t="s">
        <v>3</v>
      </c>
      <c r="D254" s="2">
        <v>45682</v>
      </c>
      <c r="E254" s="2">
        <v>45685</v>
      </c>
      <c r="F254" s="1" t="s">
        <v>1082</v>
      </c>
      <c r="G254" s="1" t="s">
        <v>319</v>
      </c>
      <c r="H254" s="1" t="s">
        <v>29</v>
      </c>
      <c r="I254">
        <v>19</v>
      </c>
      <c r="J254" s="1" t="s">
        <v>315</v>
      </c>
      <c r="K254" s="1" t="s">
        <v>4</v>
      </c>
      <c r="L254" s="1" t="s">
        <v>5</v>
      </c>
      <c r="M254" s="1" t="s">
        <v>480</v>
      </c>
      <c r="N254">
        <v>120</v>
      </c>
      <c r="O254">
        <v>3</v>
      </c>
      <c r="P254" t="s">
        <v>1083</v>
      </c>
      <c r="Q254" s="1" t="s">
        <v>1084</v>
      </c>
    </row>
    <row r="255" spans="1:17" x14ac:dyDescent="0.25">
      <c r="A255" s="1" t="s">
        <v>896</v>
      </c>
      <c r="B255" s="1" t="s">
        <v>364</v>
      </c>
      <c r="C255" s="1" t="s">
        <v>3</v>
      </c>
      <c r="D255" s="2">
        <v>45887</v>
      </c>
      <c r="E255" s="2">
        <v>45891</v>
      </c>
      <c r="F255" s="1" t="s">
        <v>1082</v>
      </c>
      <c r="G255" s="1" t="s">
        <v>365</v>
      </c>
      <c r="H255" s="1" t="s">
        <v>25</v>
      </c>
      <c r="I255">
        <v>43</v>
      </c>
      <c r="J255" s="1" t="s">
        <v>315</v>
      </c>
      <c r="K255" s="1" t="s">
        <v>4</v>
      </c>
      <c r="L255" s="1" t="s">
        <v>5</v>
      </c>
      <c r="M255" s="1" t="s">
        <v>732</v>
      </c>
      <c r="N255">
        <v>115</v>
      </c>
      <c r="O255">
        <v>4</v>
      </c>
      <c r="P255" t="s">
        <v>1092</v>
      </c>
      <c r="Q255" s="1" t="s">
        <v>1106</v>
      </c>
    </row>
    <row r="256" spans="1:17" x14ac:dyDescent="0.25">
      <c r="A256" s="1" t="s">
        <v>888</v>
      </c>
      <c r="B256" s="1" t="s">
        <v>356</v>
      </c>
      <c r="C256" s="1" t="s">
        <v>3</v>
      </c>
      <c r="D256" s="2">
        <v>45847</v>
      </c>
      <c r="E256" s="2">
        <v>45851</v>
      </c>
      <c r="F256" s="1" t="s">
        <v>1093</v>
      </c>
      <c r="G256" s="1" t="s">
        <v>357</v>
      </c>
      <c r="H256" s="1" t="s">
        <v>29</v>
      </c>
      <c r="I256">
        <v>34</v>
      </c>
      <c r="J256" s="1" t="s">
        <v>315</v>
      </c>
      <c r="K256" s="1" t="s">
        <v>4</v>
      </c>
      <c r="L256" s="1" t="s">
        <v>5</v>
      </c>
      <c r="M256" s="1" t="s">
        <v>723</v>
      </c>
      <c r="N256">
        <v>160</v>
      </c>
      <c r="O256">
        <v>4</v>
      </c>
      <c r="P256" t="s">
        <v>1083</v>
      </c>
      <c r="Q256" s="1" t="s">
        <v>1105</v>
      </c>
    </row>
    <row r="257" spans="1:17" x14ac:dyDescent="0.25">
      <c r="A257" s="1" t="s">
        <v>878</v>
      </c>
      <c r="B257" s="1" t="s">
        <v>346</v>
      </c>
      <c r="C257" s="1" t="s">
        <v>3</v>
      </c>
      <c r="D257" s="2">
        <v>45807</v>
      </c>
      <c r="E257" s="2">
        <v>45811</v>
      </c>
      <c r="F257" s="1" t="s">
        <v>1085</v>
      </c>
      <c r="G257" s="1" t="s">
        <v>347</v>
      </c>
      <c r="H257" s="1" t="s">
        <v>25</v>
      </c>
      <c r="I257">
        <v>38</v>
      </c>
      <c r="J257" s="1" t="s">
        <v>315</v>
      </c>
      <c r="K257" s="1" t="s">
        <v>4</v>
      </c>
      <c r="L257" s="1" t="s">
        <v>5</v>
      </c>
      <c r="M257" s="1" t="s">
        <v>534</v>
      </c>
      <c r="N257">
        <v>70</v>
      </c>
      <c r="O257">
        <v>4</v>
      </c>
      <c r="P257" t="s">
        <v>1092</v>
      </c>
      <c r="Q257" s="1" t="s">
        <v>1097</v>
      </c>
    </row>
    <row r="258" spans="1:17" x14ac:dyDescent="0.25">
      <c r="A258" s="1" t="s">
        <v>596</v>
      </c>
      <c r="B258" s="1" t="s">
        <v>109</v>
      </c>
      <c r="C258" s="1" t="s">
        <v>3</v>
      </c>
      <c r="D258" s="2">
        <v>45753</v>
      </c>
      <c r="E258" s="2">
        <v>45757</v>
      </c>
      <c r="F258" s="1" t="s">
        <v>1093</v>
      </c>
      <c r="G258" s="1" t="s">
        <v>110</v>
      </c>
      <c r="H258" s="1" t="s">
        <v>29</v>
      </c>
      <c r="I258">
        <v>24</v>
      </c>
      <c r="J258" s="1" t="s">
        <v>98</v>
      </c>
      <c r="K258" s="1" t="s">
        <v>4</v>
      </c>
      <c r="L258" s="1" t="s">
        <v>5</v>
      </c>
      <c r="M258" s="1" t="s">
        <v>495</v>
      </c>
      <c r="N258">
        <v>150</v>
      </c>
      <c r="O258">
        <v>4</v>
      </c>
      <c r="P258" t="s">
        <v>1083</v>
      </c>
      <c r="Q258" s="1" t="s">
        <v>1094</v>
      </c>
    </row>
    <row r="259" spans="1:17" x14ac:dyDescent="0.25">
      <c r="A259" s="1" t="s">
        <v>908</v>
      </c>
      <c r="B259" s="1" t="s">
        <v>377</v>
      </c>
      <c r="C259" s="1" t="s">
        <v>3</v>
      </c>
      <c r="D259" s="2">
        <v>45672</v>
      </c>
      <c r="E259" s="2">
        <v>45676</v>
      </c>
      <c r="F259" s="1" t="s">
        <v>1085</v>
      </c>
      <c r="G259" s="1" t="s">
        <v>174</v>
      </c>
      <c r="H259" s="1" t="s">
        <v>25</v>
      </c>
      <c r="I259">
        <v>41</v>
      </c>
      <c r="J259" s="1" t="s">
        <v>376</v>
      </c>
      <c r="K259" s="1" t="s">
        <v>4</v>
      </c>
      <c r="L259" s="1" t="s">
        <v>5</v>
      </c>
      <c r="M259" s="1" t="s">
        <v>483</v>
      </c>
      <c r="N259">
        <v>85</v>
      </c>
      <c r="O259">
        <v>4</v>
      </c>
      <c r="P259" t="s">
        <v>1092</v>
      </c>
      <c r="Q259" s="1" t="s">
        <v>1084</v>
      </c>
    </row>
    <row r="260" spans="1:17" x14ac:dyDescent="0.25">
      <c r="A260" s="1" t="s">
        <v>928</v>
      </c>
      <c r="B260" s="1" t="s">
        <v>390</v>
      </c>
      <c r="C260" s="1" t="s">
        <v>3</v>
      </c>
      <c r="D260" s="2">
        <v>45757</v>
      </c>
      <c r="E260" s="2">
        <v>45761</v>
      </c>
      <c r="F260" s="1" t="s">
        <v>1087</v>
      </c>
      <c r="G260" s="1" t="s">
        <v>63</v>
      </c>
      <c r="H260" s="1" t="s">
        <v>25</v>
      </c>
      <c r="I260">
        <v>50</v>
      </c>
      <c r="J260" s="1" t="s">
        <v>376</v>
      </c>
      <c r="K260" s="1" t="s">
        <v>4</v>
      </c>
      <c r="L260" s="1" t="s">
        <v>5</v>
      </c>
      <c r="M260" s="1" t="s">
        <v>561</v>
      </c>
      <c r="N260">
        <v>180</v>
      </c>
      <c r="O260">
        <v>4</v>
      </c>
      <c r="P260" t="s">
        <v>1092</v>
      </c>
      <c r="Q260" s="1" t="s">
        <v>1094</v>
      </c>
    </row>
    <row r="261" spans="1:17" x14ac:dyDescent="0.25">
      <c r="A261" s="1" t="s">
        <v>948</v>
      </c>
      <c r="B261" s="1" t="s">
        <v>402</v>
      </c>
      <c r="C261" s="1" t="s">
        <v>3</v>
      </c>
      <c r="D261" s="2">
        <v>45839</v>
      </c>
      <c r="E261" s="2">
        <v>45843</v>
      </c>
      <c r="F261" s="1" t="s">
        <v>1103</v>
      </c>
      <c r="G261" s="1" t="s">
        <v>210</v>
      </c>
      <c r="H261" s="1" t="s">
        <v>25</v>
      </c>
      <c r="I261">
        <v>48</v>
      </c>
      <c r="J261" s="1" t="s">
        <v>376</v>
      </c>
      <c r="K261" s="1" t="s">
        <v>4</v>
      </c>
      <c r="L261" s="1" t="s">
        <v>5</v>
      </c>
      <c r="M261" s="1" t="s">
        <v>516</v>
      </c>
      <c r="N261">
        <v>340</v>
      </c>
      <c r="O261">
        <v>4</v>
      </c>
      <c r="P261" t="s">
        <v>1092</v>
      </c>
      <c r="Q261" s="1" t="s">
        <v>1105</v>
      </c>
    </row>
    <row r="262" spans="1:17" x14ac:dyDescent="0.25">
      <c r="A262" s="1" t="s">
        <v>959</v>
      </c>
      <c r="B262" s="1" t="s">
        <v>407</v>
      </c>
      <c r="C262" s="1" t="s">
        <v>3</v>
      </c>
      <c r="D262" s="2">
        <v>45879</v>
      </c>
      <c r="E262" s="2">
        <v>45883</v>
      </c>
      <c r="F262" s="1" t="s">
        <v>1082</v>
      </c>
      <c r="G262" s="1" t="s">
        <v>220</v>
      </c>
      <c r="H262" s="1" t="s">
        <v>29</v>
      </c>
      <c r="I262">
        <v>26</v>
      </c>
      <c r="J262" s="1" t="s">
        <v>376</v>
      </c>
      <c r="K262" s="1" t="s">
        <v>4</v>
      </c>
      <c r="L262" s="1" t="s">
        <v>5</v>
      </c>
      <c r="M262" s="1" t="s">
        <v>732</v>
      </c>
      <c r="N262">
        <v>115</v>
      </c>
      <c r="O262">
        <v>4</v>
      </c>
      <c r="P262" t="s">
        <v>1083</v>
      </c>
      <c r="Q262" s="1" t="s">
        <v>1106</v>
      </c>
    </row>
    <row r="263" spans="1:17" x14ac:dyDescent="0.25">
      <c r="A263" s="1" t="s">
        <v>965</v>
      </c>
      <c r="B263" s="1" t="s">
        <v>412</v>
      </c>
      <c r="C263" s="1" t="s">
        <v>3</v>
      </c>
      <c r="D263" s="2">
        <v>45919</v>
      </c>
      <c r="E263" s="2">
        <v>45923</v>
      </c>
      <c r="F263" s="1" t="s">
        <v>1085</v>
      </c>
      <c r="G263" s="1" t="s">
        <v>230</v>
      </c>
      <c r="H263" s="1" t="s">
        <v>25</v>
      </c>
      <c r="I263">
        <v>22</v>
      </c>
      <c r="J263" s="1" t="s">
        <v>376</v>
      </c>
      <c r="K263" s="1" t="s">
        <v>4</v>
      </c>
      <c r="L263" s="1" t="s">
        <v>5</v>
      </c>
      <c r="M263" s="1" t="s">
        <v>966</v>
      </c>
      <c r="N263">
        <v>85</v>
      </c>
      <c r="O263">
        <v>4</v>
      </c>
      <c r="P263" t="s">
        <v>1083</v>
      </c>
      <c r="Q263" s="1" t="s">
        <v>1107</v>
      </c>
    </row>
    <row r="264" spans="1:17" x14ac:dyDescent="0.25">
      <c r="A264" s="1" t="s">
        <v>938</v>
      </c>
      <c r="B264" s="1" t="s">
        <v>397</v>
      </c>
      <c r="C264" s="1" t="s">
        <v>3</v>
      </c>
      <c r="D264" s="2">
        <v>45799</v>
      </c>
      <c r="E264" s="2">
        <v>45803</v>
      </c>
      <c r="F264" s="1" t="s">
        <v>1095</v>
      </c>
      <c r="G264" s="1" t="s">
        <v>200</v>
      </c>
      <c r="H264" s="1" t="s">
        <v>29</v>
      </c>
      <c r="I264">
        <v>55</v>
      </c>
      <c r="J264" s="1" t="s">
        <v>376</v>
      </c>
      <c r="K264" s="1" t="s">
        <v>4</v>
      </c>
      <c r="L264" s="1" t="s">
        <v>5</v>
      </c>
      <c r="M264" s="1" t="s">
        <v>576</v>
      </c>
      <c r="N264">
        <v>140</v>
      </c>
      <c r="O264">
        <v>4</v>
      </c>
      <c r="P264" t="s">
        <v>1088</v>
      </c>
      <c r="Q264" s="1" t="s">
        <v>1097</v>
      </c>
    </row>
    <row r="265" spans="1:17" x14ac:dyDescent="0.25">
      <c r="A265" s="1" t="s">
        <v>918</v>
      </c>
      <c r="B265" s="1" t="s">
        <v>384</v>
      </c>
      <c r="C265" s="1" t="s">
        <v>3</v>
      </c>
      <c r="D265" s="2">
        <v>45716</v>
      </c>
      <c r="E265" s="2">
        <v>45720</v>
      </c>
      <c r="F265" s="1" t="s">
        <v>1093</v>
      </c>
      <c r="G265" s="1" t="s">
        <v>110</v>
      </c>
      <c r="H265" s="1" t="s">
        <v>29</v>
      </c>
      <c r="I265">
        <v>24</v>
      </c>
      <c r="J265" s="1" t="s">
        <v>376</v>
      </c>
      <c r="K265" s="1" t="s">
        <v>4</v>
      </c>
      <c r="L265" s="1" t="s">
        <v>5</v>
      </c>
      <c r="M265" s="1" t="s">
        <v>540</v>
      </c>
      <c r="N265">
        <v>160</v>
      </c>
      <c r="O265">
        <v>4</v>
      </c>
      <c r="P265" t="s">
        <v>1083</v>
      </c>
      <c r="Q265" s="1" t="s">
        <v>1086</v>
      </c>
    </row>
    <row r="266" spans="1:17" x14ac:dyDescent="0.25">
      <c r="A266" s="1" t="s">
        <v>606</v>
      </c>
      <c r="B266" s="1" t="s">
        <v>119</v>
      </c>
      <c r="C266" s="1" t="s">
        <v>3</v>
      </c>
      <c r="D266" s="2">
        <v>45805</v>
      </c>
      <c r="E266" s="2">
        <v>45809</v>
      </c>
      <c r="F266" s="1" t="s">
        <v>1085</v>
      </c>
      <c r="G266" s="1" t="s">
        <v>120</v>
      </c>
      <c r="H266" s="1" t="s">
        <v>25</v>
      </c>
      <c r="I266">
        <v>19</v>
      </c>
      <c r="J266" s="1" t="s">
        <v>98</v>
      </c>
      <c r="K266" s="1" t="s">
        <v>4</v>
      </c>
      <c r="L266" s="1" t="s">
        <v>5</v>
      </c>
      <c r="M266" s="1" t="s">
        <v>513</v>
      </c>
      <c r="N266">
        <v>80</v>
      </c>
      <c r="O266">
        <v>4</v>
      </c>
      <c r="P266" t="s">
        <v>1083</v>
      </c>
      <c r="Q266" s="1" t="s">
        <v>1097</v>
      </c>
    </row>
    <row r="267" spans="1:17" x14ac:dyDescent="0.25">
      <c r="A267" s="1" t="s">
        <v>640</v>
      </c>
      <c r="B267" s="1" t="s">
        <v>149</v>
      </c>
      <c r="C267" s="1" t="s">
        <v>3</v>
      </c>
      <c r="D267" s="2">
        <v>45971</v>
      </c>
      <c r="E267" s="2">
        <v>45975</v>
      </c>
      <c r="F267" s="1" t="s">
        <v>1085</v>
      </c>
      <c r="G267" s="1" t="s">
        <v>150</v>
      </c>
      <c r="H267" s="1" t="s">
        <v>29</v>
      </c>
      <c r="I267">
        <v>30</v>
      </c>
      <c r="J267" s="1" t="s">
        <v>98</v>
      </c>
      <c r="K267" s="1" t="s">
        <v>4</v>
      </c>
      <c r="L267" s="1" t="s">
        <v>5</v>
      </c>
      <c r="M267" s="1" t="s">
        <v>641</v>
      </c>
      <c r="N267">
        <v>80</v>
      </c>
      <c r="O267">
        <v>4</v>
      </c>
      <c r="P267" t="s">
        <v>1083</v>
      </c>
      <c r="Q267" s="1" t="s">
        <v>1109</v>
      </c>
    </row>
    <row r="268" spans="1:17" x14ac:dyDescent="0.25">
      <c r="A268" s="1" t="s">
        <v>1003</v>
      </c>
      <c r="B268" s="1" t="s">
        <v>438</v>
      </c>
      <c r="C268" s="1" t="s">
        <v>3</v>
      </c>
      <c r="D268" s="2">
        <v>45820</v>
      </c>
      <c r="E268" s="2">
        <v>45824</v>
      </c>
      <c r="F268" s="1" t="s">
        <v>1085</v>
      </c>
      <c r="G268" s="1" t="s">
        <v>61</v>
      </c>
      <c r="H268" s="1" t="s">
        <v>29</v>
      </c>
      <c r="I268">
        <v>45</v>
      </c>
      <c r="J268" s="1" t="s">
        <v>417</v>
      </c>
      <c r="K268" s="1" t="s">
        <v>4</v>
      </c>
      <c r="L268" s="1" t="s">
        <v>5</v>
      </c>
      <c r="M268" s="1" t="s">
        <v>534</v>
      </c>
      <c r="N268">
        <v>70</v>
      </c>
      <c r="O268">
        <v>4</v>
      </c>
      <c r="P268" t="s">
        <v>1092</v>
      </c>
      <c r="Q268" s="1" t="s">
        <v>1102</v>
      </c>
    </row>
    <row r="269" spans="1:17" x14ac:dyDescent="0.25">
      <c r="A269" s="1" t="s">
        <v>986</v>
      </c>
      <c r="B269" s="1" t="s">
        <v>428</v>
      </c>
      <c r="C269" s="1" t="s">
        <v>3</v>
      </c>
      <c r="D269" s="2">
        <v>45730</v>
      </c>
      <c r="E269" s="2">
        <v>45734</v>
      </c>
      <c r="F269" s="1" t="s">
        <v>1095</v>
      </c>
      <c r="G269" s="1" t="s">
        <v>41</v>
      </c>
      <c r="H269" s="1" t="s">
        <v>29</v>
      </c>
      <c r="I269">
        <v>25</v>
      </c>
      <c r="J269" s="1" t="s">
        <v>417</v>
      </c>
      <c r="K269" s="1" t="s">
        <v>4</v>
      </c>
      <c r="L269" s="1" t="s">
        <v>5</v>
      </c>
      <c r="M269" s="1" t="s">
        <v>543</v>
      </c>
      <c r="N269">
        <v>210</v>
      </c>
      <c r="O269">
        <v>4</v>
      </c>
      <c r="P269" t="s">
        <v>1083</v>
      </c>
      <c r="Q269" s="1" t="s">
        <v>1090</v>
      </c>
    </row>
    <row r="270" spans="1:17" x14ac:dyDescent="0.25">
      <c r="A270" s="1" t="s">
        <v>1013</v>
      </c>
      <c r="B270" s="1" t="s">
        <v>443</v>
      </c>
      <c r="C270" s="1" t="s">
        <v>3</v>
      </c>
      <c r="D270" s="2">
        <v>45865</v>
      </c>
      <c r="E270" s="2">
        <v>45869</v>
      </c>
      <c r="F270" s="1" t="s">
        <v>1093</v>
      </c>
      <c r="G270" s="1" t="s">
        <v>71</v>
      </c>
      <c r="H270" s="1" t="s">
        <v>25</v>
      </c>
      <c r="I270">
        <v>48</v>
      </c>
      <c r="J270" s="1" t="s">
        <v>417</v>
      </c>
      <c r="K270" s="1" t="s">
        <v>4</v>
      </c>
      <c r="L270" s="1" t="s">
        <v>5</v>
      </c>
      <c r="M270" s="1" t="s">
        <v>723</v>
      </c>
      <c r="N270">
        <v>160</v>
      </c>
      <c r="O270">
        <v>4</v>
      </c>
      <c r="P270" t="s">
        <v>1092</v>
      </c>
      <c r="Q270" s="1" t="s">
        <v>1105</v>
      </c>
    </row>
    <row r="271" spans="1:17" x14ac:dyDescent="0.25">
      <c r="A271" s="1" t="s">
        <v>976</v>
      </c>
      <c r="B271" s="1" t="s">
        <v>419</v>
      </c>
      <c r="C271" s="1" t="s">
        <v>3</v>
      </c>
      <c r="D271" s="2">
        <v>45685</v>
      </c>
      <c r="E271" s="2">
        <v>45689</v>
      </c>
      <c r="F271" s="1" t="s">
        <v>1082</v>
      </c>
      <c r="G271" s="1" t="s">
        <v>420</v>
      </c>
      <c r="H271" s="1" t="s">
        <v>25</v>
      </c>
      <c r="I271">
        <v>52</v>
      </c>
      <c r="J271" s="1" t="s">
        <v>417</v>
      </c>
      <c r="K271" s="1" t="s">
        <v>4</v>
      </c>
      <c r="L271" s="1" t="s">
        <v>5</v>
      </c>
      <c r="M271" s="1" t="s">
        <v>480</v>
      </c>
      <c r="N271">
        <v>120</v>
      </c>
      <c r="O271">
        <v>4</v>
      </c>
      <c r="P271" t="s">
        <v>1088</v>
      </c>
      <c r="Q271" s="1" t="s">
        <v>1084</v>
      </c>
    </row>
    <row r="272" spans="1:17" x14ac:dyDescent="0.25">
      <c r="A272" s="1" t="s">
        <v>995</v>
      </c>
      <c r="B272" s="1" t="s">
        <v>433</v>
      </c>
      <c r="C272" s="1" t="s">
        <v>3</v>
      </c>
      <c r="D272" s="2">
        <v>45775</v>
      </c>
      <c r="E272" s="2">
        <v>45779</v>
      </c>
      <c r="F272" s="1" t="s">
        <v>1103</v>
      </c>
      <c r="G272" s="1" t="s">
        <v>51</v>
      </c>
      <c r="H272" s="1" t="s">
        <v>25</v>
      </c>
      <c r="I272">
        <v>50</v>
      </c>
      <c r="J272" s="1" t="s">
        <v>417</v>
      </c>
      <c r="K272" s="1" t="s">
        <v>4</v>
      </c>
      <c r="L272" s="1" t="s">
        <v>5</v>
      </c>
      <c r="M272" s="1" t="s">
        <v>638</v>
      </c>
      <c r="N272">
        <v>330</v>
      </c>
      <c r="O272">
        <v>4</v>
      </c>
      <c r="P272" t="s">
        <v>1092</v>
      </c>
      <c r="Q272" s="1" t="s">
        <v>1094</v>
      </c>
    </row>
    <row r="273" spans="1:17" x14ac:dyDescent="0.25">
      <c r="A273" s="1" t="s">
        <v>1055</v>
      </c>
      <c r="B273" s="1" t="s">
        <v>467</v>
      </c>
      <c r="C273" s="1" t="s">
        <v>3</v>
      </c>
      <c r="D273" s="2">
        <v>45799</v>
      </c>
      <c r="E273" s="2">
        <v>45803</v>
      </c>
      <c r="F273" s="1" t="s">
        <v>1085</v>
      </c>
      <c r="G273" s="1" t="s">
        <v>61</v>
      </c>
      <c r="H273" s="1" t="s">
        <v>29</v>
      </c>
      <c r="I273">
        <v>45</v>
      </c>
      <c r="J273" s="1" t="s">
        <v>449</v>
      </c>
      <c r="K273" s="1" t="s">
        <v>4</v>
      </c>
      <c r="L273" s="1" t="s">
        <v>5</v>
      </c>
      <c r="M273" s="1" t="s">
        <v>534</v>
      </c>
      <c r="N273">
        <v>70</v>
      </c>
      <c r="O273">
        <v>4</v>
      </c>
      <c r="P273" t="s">
        <v>1092</v>
      </c>
      <c r="Q273" s="1" t="s">
        <v>1097</v>
      </c>
    </row>
    <row r="274" spans="1:17" x14ac:dyDescent="0.25">
      <c r="A274" s="1" t="s">
        <v>1035</v>
      </c>
      <c r="B274" s="1" t="s">
        <v>457</v>
      </c>
      <c r="C274" s="1" t="s">
        <v>3</v>
      </c>
      <c r="D274" s="2">
        <v>45719</v>
      </c>
      <c r="E274" s="2">
        <v>45723</v>
      </c>
      <c r="F274" s="1" t="s">
        <v>1095</v>
      </c>
      <c r="G274" s="1" t="s">
        <v>41</v>
      </c>
      <c r="H274" s="1" t="s">
        <v>29</v>
      </c>
      <c r="I274">
        <v>25</v>
      </c>
      <c r="J274" s="1" t="s">
        <v>449</v>
      </c>
      <c r="K274" s="1" t="s">
        <v>4</v>
      </c>
      <c r="L274" s="1" t="s">
        <v>5</v>
      </c>
      <c r="M274" s="1" t="s">
        <v>543</v>
      </c>
      <c r="N274">
        <v>210</v>
      </c>
      <c r="O274">
        <v>4</v>
      </c>
      <c r="P274" t="s">
        <v>1083</v>
      </c>
      <c r="Q274" s="1" t="s">
        <v>1090</v>
      </c>
    </row>
    <row r="275" spans="1:17" x14ac:dyDescent="0.25">
      <c r="A275" s="1" t="s">
        <v>1063</v>
      </c>
      <c r="B275" s="1" t="s">
        <v>454</v>
      </c>
      <c r="C275" s="1" t="s">
        <v>3</v>
      </c>
      <c r="D275" s="2">
        <v>45839</v>
      </c>
      <c r="E275" s="2">
        <v>45843</v>
      </c>
      <c r="F275" s="1" t="s">
        <v>1093</v>
      </c>
      <c r="G275" s="1" t="s">
        <v>424</v>
      </c>
      <c r="H275" s="1" t="s">
        <v>25</v>
      </c>
      <c r="I275">
        <v>41</v>
      </c>
      <c r="J275" s="1" t="s">
        <v>449</v>
      </c>
      <c r="K275" s="1" t="s">
        <v>4</v>
      </c>
      <c r="L275" s="1" t="s">
        <v>5</v>
      </c>
      <c r="M275" s="1" t="s">
        <v>723</v>
      </c>
      <c r="N275">
        <v>160</v>
      </c>
      <c r="O275">
        <v>4</v>
      </c>
      <c r="P275" t="s">
        <v>1092</v>
      </c>
      <c r="Q275" s="1" t="s">
        <v>1105</v>
      </c>
    </row>
    <row r="276" spans="1:17" x14ac:dyDescent="0.25">
      <c r="A276" s="1" t="s">
        <v>1045</v>
      </c>
      <c r="B276" s="1" t="s">
        <v>462</v>
      </c>
      <c r="C276" s="1" t="s">
        <v>3</v>
      </c>
      <c r="D276" s="2">
        <v>45759</v>
      </c>
      <c r="E276" s="2">
        <v>45763</v>
      </c>
      <c r="F276" s="1" t="s">
        <v>1103</v>
      </c>
      <c r="G276" s="1" t="s">
        <v>51</v>
      </c>
      <c r="H276" s="1" t="s">
        <v>25</v>
      </c>
      <c r="I276">
        <v>50</v>
      </c>
      <c r="J276" s="1" t="s">
        <v>449</v>
      </c>
      <c r="K276" s="1" t="s">
        <v>4</v>
      </c>
      <c r="L276" s="1" t="s">
        <v>5</v>
      </c>
      <c r="M276" s="1" t="s">
        <v>638</v>
      </c>
      <c r="N276">
        <v>330</v>
      </c>
      <c r="O276">
        <v>4</v>
      </c>
      <c r="P276" t="s">
        <v>1092</v>
      </c>
      <c r="Q276" s="1" t="s">
        <v>1094</v>
      </c>
    </row>
    <row r="277" spans="1:17" x14ac:dyDescent="0.25">
      <c r="A277" s="1" t="s">
        <v>1025</v>
      </c>
      <c r="B277" s="1" t="s">
        <v>451</v>
      </c>
      <c r="C277" s="1" t="s">
        <v>3</v>
      </c>
      <c r="D277" s="2">
        <v>45679</v>
      </c>
      <c r="E277" s="2">
        <v>45683</v>
      </c>
      <c r="F277" s="1" t="s">
        <v>1082</v>
      </c>
      <c r="G277" s="1" t="s">
        <v>452</v>
      </c>
      <c r="H277" s="1" t="s">
        <v>25</v>
      </c>
      <c r="I277">
        <v>52</v>
      </c>
      <c r="J277" s="1" t="s">
        <v>449</v>
      </c>
      <c r="K277" s="1" t="s">
        <v>4</v>
      </c>
      <c r="L277" s="1" t="s">
        <v>5</v>
      </c>
      <c r="M277" s="1" t="s">
        <v>480</v>
      </c>
      <c r="N277">
        <v>120</v>
      </c>
      <c r="O277">
        <v>4</v>
      </c>
      <c r="P277" t="s">
        <v>1088</v>
      </c>
      <c r="Q277" s="1" t="s">
        <v>1084</v>
      </c>
    </row>
    <row r="278" spans="1:17" x14ac:dyDescent="0.25">
      <c r="A278" s="1" t="s">
        <v>586</v>
      </c>
      <c r="B278" s="1" t="s">
        <v>99</v>
      </c>
      <c r="C278" s="1" t="s">
        <v>3</v>
      </c>
      <c r="D278" s="2">
        <v>45691</v>
      </c>
      <c r="E278" s="2">
        <v>45694</v>
      </c>
      <c r="F278" s="1" t="s">
        <v>1085</v>
      </c>
      <c r="G278" s="1" t="s">
        <v>100</v>
      </c>
      <c r="H278" s="1" t="s">
        <v>25</v>
      </c>
      <c r="I278">
        <v>41</v>
      </c>
      <c r="J278" s="1" t="s">
        <v>98</v>
      </c>
      <c r="K278" s="1" t="s">
        <v>4</v>
      </c>
      <c r="L278" s="1" t="s">
        <v>5</v>
      </c>
      <c r="M278" s="1" t="s">
        <v>483</v>
      </c>
      <c r="N278">
        <v>85</v>
      </c>
      <c r="O278">
        <v>3</v>
      </c>
      <c r="P278" t="s">
        <v>1092</v>
      </c>
      <c r="Q278" s="1" t="s">
        <v>1086</v>
      </c>
    </row>
    <row r="279" spans="1:17" x14ac:dyDescent="0.25">
      <c r="A279" s="1" t="s">
        <v>655</v>
      </c>
      <c r="B279" s="1" t="s">
        <v>158</v>
      </c>
      <c r="C279" s="1" t="s">
        <v>3</v>
      </c>
      <c r="D279" s="2">
        <v>46006</v>
      </c>
      <c r="E279" s="2">
        <v>46010</v>
      </c>
      <c r="F279" s="1" t="s">
        <v>1085</v>
      </c>
      <c r="G279" s="1" t="s">
        <v>159</v>
      </c>
      <c r="H279" s="1" t="s">
        <v>25</v>
      </c>
      <c r="I279">
        <v>21</v>
      </c>
      <c r="J279" s="1" t="s">
        <v>98</v>
      </c>
      <c r="K279" s="1" t="s">
        <v>4</v>
      </c>
      <c r="L279" s="1" t="s">
        <v>5</v>
      </c>
      <c r="M279" s="1" t="s">
        <v>573</v>
      </c>
      <c r="N279">
        <v>85</v>
      </c>
      <c r="O279">
        <v>4</v>
      </c>
      <c r="P279" t="s">
        <v>1083</v>
      </c>
      <c r="Q279" s="1" t="s">
        <v>1110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46"/>
  <sheetViews>
    <sheetView workbookViewId="0">
      <selection activeCell="N13" sqref="N13"/>
    </sheetView>
  </sheetViews>
  <sheetFormatPr defaultRowHeight="15" x14ac:dyDescent="0.25"/>
  <cols>
    <col min="2" max="2" width="23.28515625" bestFit="1" customWidth="1"/>
    <col min="3" max="3" width="17.5703125" bestFit="1" customWidth="1"/>
    <col min="6" max="6" width="11.28515625" bestFit="1" customWidth="1"/>
    <col min="7" max="7" width="32.140625" bestFit="1" customWidth="1"/>
    <col min="10" max="10" width="16.85546875" bestFit="1" customWidth="1"/>
    <col min="11" max="11" width="32.140625" bestFit="1" customWidth="1"/>
  </cols>
  <sheetData>
    <row r="2" spans="2:11" x14ac:dyDescent="0.25">
      <c r="B2" s="3" t="s">
        <v>22</v>
      </c>
      <c r="C2" s="5" t="s">
        <v>1127</v>
      </c>
      <c r="F2" s="3" t="s">
        <v>2</v>
      </c>
      <c r="G2" t="s">
        <v>1123</v>
      </c>
      <c r="J2" s="3" t="s">
        <v>1124</v>
      </c>
      <c r="K2" t="s">
        <v>1123</v>
      </c>
    </row>
    <row r="3" spans="2:11" x14ac:dyDescent="0.25">
      <c r="B3" s="4" t="s">
        <v>26</v>
      </c>
      <c r="C3" s="26">
        <v>35</v>
      </c>
      <c r="F3" s="4" t="s">
        <v>11</v>
      </c>
      <c r="G3" s="1">
        <v>58</v>
      </c>
      <c r="J3" s="4" t="s">
        <v>16</v>
      </c>
      <c r="K3" s="1">
        <v>54</v>
      </c>
    </row>
    <row r="4" spans="2:11" x14ac:dyDescent="0.25">
      <c r="B4" s="4" t="s">
        <v>449</v>
      </c>
      <c r="C4" s="26">
        <v>25</v>
      </c>
      <c r="F4" s="4" t="s">
        <v>17</v>
      </c>
      <c r="G4" s="1">
        <v>54</v>
      </c>
      <c r="J4" s="4" t="s">
        <v>7</v>
      </c>
      <c r="K4" s="1">
        <v>56</v>
      </c>
    </row>
    <row r="5" spans="2:11" x14ac:dyDescent="0.25">
      <c r="B5" s="4" t="s">
        <v>168</v>
      </c>
      <c r="C5" s="26">
        <v>35</v>
      </c>
      <c r="F5" s="4" t="s">
        <v>8</v>
      </c>
      <c r="G5" s="1">
        <v>56</v>
      </c>
      <c r="J5" s="4" t="s">
        <v>13</v>
      </c>
      <c r="K5" s="1">
        <v>56</v>
      </c>
    </row>
    <row r="6" spans="2:11" x14ac:dyDescent="0.25">
      <c r="B6" s="4" t="s">
        <v>98</v>
      </c>
      <c r="C6" s="26">
        <v>43</v>
      </c>
      <c r="F6" s="4" t="s">
        <v>14</v>
      </c>
      <c r="G6" s="1">
        <v>56</v>
      </c>
      <c r="J6" s="4" t="s">
        <v>10</v>
      </c>
      <c r="K6" s="1">
        <v>58</v>
      </c>
    </row>
    <row r="7" spans="2:11" x14ac:dyDescent="0.25">
      <c r="B7" s="4" t="s">
        <v>376</v>
      </c>
      <c r="C7" s="26">
        <v>34</v>
      </c>
      <c r="F7" s="4" t="s">
        <v>5</v>
      </c>
      <c r="G7" s="1">
        <v>54</v>
      </c>
      <c r="J7" s="4" t="s">
        <v>4</v>
      </c>
      <c r="K7" s="1">
        <v>54</v>
      </c>
    </row>
    <row r="8" spans="2:11" x14ac:dyDescent="0.25">
      <c r="B8" s="4" t="s">
        <v>238</v>
      </c>
      <c r="C8" s="26">
        <v>29</v>
      </c>
      <c r="F8" s="4" t="s">
        <v>1122</v>
      </c>
      <c r="G8" s="1">
        <v>278</v>
      </c>
      <c r="J8" s="4" t="s">
        <v>1122</v>
      </c>
      <c r="K8" s="1">
        <v>278</v>
      </c>
    </row>
    <row r="9" spans="2:11" x14ac:dyDescent="0.25">
      <c r="B9" s="4" t="s">
        <v>271</v>
      </c>
      <c r="C9" s="26">
        <v>23</v>
      </c>
    </row>
    <row r="10" spans="2:11" x14ac:dyDescent="0.25">
      <c r="B10" s="4" t="s">
        <v>315</v>
      </c>
      <c r="C10" s="26">
        <v>28</v>
      </c>
    </row>
    <row r="11" spans="2:11" x14ac:dyDescent="0.25">
      <c r="B11" s="4" t="s">
        <v>417</v>
      </c>
      <c r="C11" s="26">
        <v>26</v>
      </c>
    </row>
    <row r="12" spans="2:11" x14ac:dyDescent="0.25">
      <c r="B12" s="4" t="s">
        <v>1122</v>
      </c>
      <c r="C12" s="26">
        <v>278</v>
      </c>
      <c r="F12" s="3" t="s">
        <v>1125</v>
      </c>
      <c r="G12" t="s">
        <v>1123</v>
      </c>
      <c r="J12" s="3" t="s">
        <v>2</v>
      </c>
      <c r="K12" t="s">
        <v>1120</v>
      </c>
    </row>
    <row r="13" spans="2:11" x14ac:dyDescent="0.25">
      <c r="F13" s="4" t="s">
        <v>1084</v>
      </c>
      <c r="G13" s="1">
        <v>21</v>
      </c>
      <c r="J13" s="4" t="s">
        <v>11</v>
      </c>
      <c r="K13" s="24">
        <v>12705</v>
      </c>
    </row>
    <row r="14" spans="2:11" x14ac:dyDescent="0.25">
      <c r="F14" s="4" t="s">
        <v>1086</v>
      </c>
      <c r="G14" s="1">
        <v>26</v>
      </c>
      <c r="J14" s="4" t="s">
        <v>17</v>
      </c>
      <c r="K14" s="24">
        <v>26500</v>
      </c>
    </row>
    <row r="15" spans="2:11" x14ac:dyDescent="0.25">
      <c r="F15" s="4" t="s">
        <v>1090</v>
      </c>
      <c r="G15" s="1">
        <v>28</v>
      </c>
      <c r="J15" s="4" t="s">
        <v>8</v>
      </c>
      <c r="K15" s="24">
        <v>8085</v>
      </c>
    </row>
    <row r="16" spans="2:11" x14ac:dyDescent="0.25">
      <c r="B16" t="s">
        <v>1123</v>
      </c>
      <c r="F16" s="4" t="s">
        <v>1094</v>
      </c>
      <c r="G16" s="1">
        <v>30</v>
      </c>
      <c r="J16" s="4" t="s">
        <v>14</v>
      </c>
      <c r="K16" s="24">
        <v>19110</v>
      </c>
    </row>
    <row r="17" spans="2:13" x14ac:dyDescent="0.25">
      <c r="B17" s="6">
        <v>278</v>
      </c>
      <c r="F17" s="4" t="s">
        <v>1097</v>
      </c>
      <c r="G17" s="1">
        <v>30</v>
      </c>
      <c r="J17" s="4" t="s">
        <v>5</v>
      </c>
      <c r="K17" s="24">
        <v>7310</v>
      </c>
    </row>
    <row r="18" spans="2:13" x14ac:dyDescent="0.25">
      <c r="F18" s="4" t="s">
        <v>1102</v>
      </c>
      <c r="G18" s="1">
        <v>28</v>
      </c>
      <c r="J18" s="4" t="s">
        <v>1122</v>
      </c>
      <c r="K18" s="24">
        <v>73710</v>
      </c>
    </row>
    <row r="19" spans="2:13" x14ac:dyDescent="0.25">
      <c r="F19" s="4" t="s">
        <v>1105</v>
      </c>
      <c r="G19" s="1">
        <v>31</v>
      </c>
      <c r="M19" t="s">
        <v>1155</v>
      </c>
    </row>
    <row r="20" spans="2:13" x14ac:dyDescent="0.25">
      <c r="B20" t="s">
        <v>1150</v>
      </c>
      <c r="F20" s="4" t="s">
        <v>1106</v>
      </c>
      <c r="G20" s="1">
        <v>28</v>
      </c>
    </row>
    <row r="21" spans="2:13" x14ac:dyDescent="0.25">
      <c r="B21" s="7">
        <v>73710</v>
      </c>
      <c r="F21" s="4" t="s">
        <v>1107</v>
      </c>
      <c r="G21" s="1">
        <v>19</v>
      </c>
    </row>
    <row r="22" spans="2:13" x14ac:dyDescent="0.25">
      <c r="F22" s="4" t="s">
        <v>1108</v>
      </c>
      <c r="G22" s="1">
        <v>12</v>
      </c>
    </row>
    <row r="23" spans="2:13" x14ac:dyDescent="0.25">
      <c r="F23" s="4" t="s">
        <v>1109</v>
      </c>
      <c r="G23" s="1">
        <v>11</v>
      </c>
    </row>
    <row r="24" spans="2:13" x14ac:dyDescent="0.25">
      <c r="B24" t="s">
        <v>1126</v>
      </c>
      <c r="F24" s="4" t="s">
        <v>1110</v>
      </c>
      <c r="G24" s="1">
        <v>14</v>
      </c>
      <c r="J24" s="3" t="s">
        <v>1121</v>
      </c>
      <c r="K24" t="s">
        <v>1127</v>
      </c>
    </row>
    <row r="25" spans="2:13" x14ac:dyDescent="0.25">
      <c r="B25" s="8">
        <v>3.8776978417266186</v>
      </c>
      <c r="F25" s="4" t="s">
        <v>1122</v>
      </c>
      <c r="G25" s="1">
        <v>278</v>
      </c>
      <c r="J25" s="4" t="s">
        <v>1099</v>
      </c>
      <c r="K25" s="1">
        <v>41</v>
      </c>
    </row>
    <row r="26" spans="2:13" x14ac:dyDescent="0.25">
      <c r="J26" s="4" t="s">
        <v>1083</v>
      </c>
      <c r="K26" s="1">
        <v>97</v>
      </c>
    </row>
    <row r="27" spans="2:13" x14ac:dyDescent="0.25">
      <c r="J27" s="4" t="s">
        <v>1092</v>
      </c>
      <c r="K27" s="1">
        <v>92</v>
      </c>
    </row>
    <row r="28" spans="2:13" x14ac:dyDescent="0.25">
      <c r="B28" s="3" t="s">
        <v>1121</v>
      </c>
      <c r="C28" t="s">
        <v>1127</v>
      </c>
      <c r="J28" s="4" t="s">
        <v>1088</v>
      </c>
      <c r="K28" s="1">
        <v>48</v>
      </c>
    </row>
    <row r="29" spans="2:13" x14ac:dyDescent="0.25">
      <c r="B29" s="4" t="s">
        <v>29</v>
      </c>
      <c r="C29" s="1">
        <v>141</v>
      </c>
      <c r="F29" s="3" t="s">
        <v>1121</v>
      </c>
      <c r="G29" t="s">
        <v>1120</v>
      </c>
      <c r="J29" s="4" t="s">
        <v>1122</v>
      </c>
      <c r="K29" s="1">
        <v>278</v>
      </c>
    </row>
    <row r="30" spans="2:13" x14ac:dyDescent="0.25">
      <c r="B30" s="4" t="s">
        <v>25</v>
      </c>
      <c r="C30" s="1">
        <v>137</v>
      </c>
      <c r="F30" s="4" t="s">
        <v>26</v>
      </c>
      <c r="G30" s="24">
        <v>8250</v>
      </c>
    </row>
    <row r="31" spans="2:13" x14ac:dyDescent="0.25">
      <c r="B31" s="4" t="s">
        <v>1122</v>
      </c>
      <c r="C31" s="1">
        <v>278</v>
      </c>
      <c r="F31" s="4" t="s">
        <v>449</v>
      </c>
      <c r="G31" s="24">
        <v>7380</v>
      </c>
    </row>
    <row r="32" spans="2:13" x14ac:dyDescent="0.25">
      <c r="F32" s="4" t="s">
        <v>168</v>
      </c>
      <c r="G32" s="24">
        <v>8840</v>
      </c>
    </row>
    <row r="33" spans="6:11" x14ac:dyDescent="0.25">
      <c r="F33" s="4" t="s">
        <v>98</v>
      </c>
      <c r="G33" s="24">
        <v>12155</v>
      </c>
      <c r="J33" s="3" t="s">
        <v>1121</v>
      </c>
      <c r="K33" t="s">
        <v>1120</v>
      </c>
    </row>
    <row r="34" spans="6:11" x14ac:dyDescent="0.25">
      <c r="F34" s="4" t="s">
        <v>376</v>
      </c>
      <c r="G34" s="24">
        <v>8640</v>
      </c>
      <c r="J34" s="4" t="s">
        <v>1084</v>
      </c>
      <c r="K34" s="24">
        <v>3710</v>
      </c>
    </row>
    <row r="35" spans="6:11" x14ac:dyDescent="0.25">
      <c r="F35" s="4" t="s">
        <v>238</v>
      </c>
      <c r="G35" s="24">
        <v>6610</v>
      </c>
      <c r="J35" s="4" t="s">
        <v>1086</v>
      </c>
      <c r="K35" s="24">
        <v>10730</v>
      </c>
    </row>
    <row r="36" spans="6:11" x14ac:dyDescent="0.25">
      <c r="F36" s="4" t="s">
        <v>271</v>
      </c>
      <c r="G36" s="24">
        <v>7030</v>
      </c>
      <c r="J36" s="4" t="s">
        <v>1090</v>
      </c>
      <c r="K36" s="24">
        <v>10300</v>
      </c>
    </row>
    <row r="37" spans="6:11" x14ac:dyDescent="0.25">
      <c r="F37" s="4" t="s">
        <v>315</v>
      </c>
      <c r="G37" s="24">
        <v>8430</v>
      </c>
      <c r="J37" s="4" t="s">
        <v>1094</v>
      </c>
      <c r="K37" s="24">
        <v>8185</v>
      </c>
    </row>
    <row r="38" spans="6:11" x14ac:dyDescent="0.25">
      <c r="F38" s="4" t="s">
        <v>417</v>
      </c>
      <c r="G38" s="24">
        <v>6375</v>
      </c>
      <c r="J38" s="4" t="s">
        <v>1097</v>
      </c>
      <c r="K38" s="24">
        <v>6135</v>
      </c>
    </row>
    <row r="39" spans="6:11" x14ac:dyDescent="0.25">
      <c r="F39" s="4" t="s">
        <v>1122</v>
      </c>
      <c r="G39" s="24">
        <v>73710</v>
      </c>
      <c r="J39" s="4" t="s">
        <v>1102</v>
      </c>
      <c r="K39" s="24">
        <v>8650</v>
      </c>
    </row>
    <row r="40" spans="6:11" x14ac:dyDescent="0.25">
      <c r="J40" s="4" t="s">
        <v>1105</v>
      </c>
      <c r="K40" s="24">
        <v>6645</v>
      </c>
    </row>
    <row r="41" spans="6:11" x14ac:dyDescent="0.25">
      <c r="J41" s="4" t="s">
        <v>1106</v>
      </c>
      <c r="K41" s="24">
        <v>6305</v>
      </c>
    </row>
    <row r="42" spans="6:11" x14ac:dyDescent="0.25">
      <c r="J42" s="4" t="s">
        <v>1107</v>
      </c>
      <c r="K42" s="24">
        <v>5195</v>
      </c>
    </row>
    <row r="43" spans="6:11" x14ac:dyDescent="0.25">
      <c r="J43" s="4" t="s">
        <v>1108</v>
      </c>
      <c r="K43" s="24">
        <v>2865</v>
      </c>
    </row>
    <row r="44" spans="6:11" x14ac:dyDescent="0.25">
      <c r="J44" s="4" t="s">
        <v>1109</v>
      </c>
      <c r="K44" s="24">
        <v>1640</v>
      </c>
    </row>
    <row r="45" spans="6:11" x14ac:dyDescent="0.25">
      <c r="J45" s="4" t="s">
        <v>1110</v>
      </c>
      <c r="K45" s="24">
        <v>3350</v>
      </c>
    </row>
    <row r="46" spans="6:11" x14ac:dyDescent="0.25">
      <c r="J46" s="4" t="s">
        <v>1122</v>
      </c>
      <c r="K46" s="24">
        <v>73710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24D04-F989-451F-A4F1-517CE6B4B8C0}">
  <sheetPr>
    <tabColor theme="3" tint="0.79998168889431442"/>
    <pageSetUpPr fitToPage="1"/>
  </sheetPr>
  <dimension ref="A1:GP28"/>
  <sheetViews>
    <sheetView showGridLines="0" tabSelected="1" topLeftCell="A7" zoomScale="60" zoomScaleNormal="60" workbookViewId="0">
      <selection activeCell="V17" sqref="V17"/>
    </sheetView>
  </sheetViews>
  <sheetFormatPr defaultColWidth="12.42578125" defaultRowHeight="17.25" x14ac:dyDescent="0.3"/>
  <cols>
    <col min="1" max="1" width="3.85546875" style="11" customWidth="1"/>
    <col min="2" max="3" width="21.5703125" style="11" customWidth="1"/>
    <col min="4" max="4" width="22.7109375" style="11" bestFit="1" customWidth="1"/>
    <col min="5" max="13" width="21.5703125" style="11" customWidth="1"/>
    <col min="14" max="14" width="3.5703125" style="11" customWidth="1"/>
    <col min="15" max="16384" width="12.42578125" style="11"/>
  </cols>
  <sheetData>
    <row r="1" spans="1:198" s="10" customFormat="1" ht="42" customHeight="1" x14ac:dyDescent="0.25">
      <c r="A1" s="9"/>
      <c r="B1" s="47" t="s">
        <v>1154</v>
      </c>
      <c r="C1" s="47"/>
      <c r="D1" s="47"/>
      <c r="E1" s="47"/>
      <c r="F1" s="47"/>
      <c r="G1" s="47"/>
      <c r="H1" s="47"/>
      <c r="I1" s="47"/>
      <c r="J1" s="47"/>
      <c r="K1" s="39"/>
      <c r="L1" s="39"/>
      <c r="M1" s="3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9"/>
      <c r="EE1" s="9"/>
      <c r="EF1" s="9"/>
      <c r="EG1" s="9"/>
      <c r="EH1" s="9"/>
      <c r="EI1" s="9"/>
      <c r="EJ1" s="9"/>
      <c r="EK1" s="9"/>
      <c r="EL1" s="9"/>
      <c r="EM1" s="9"/>
      <c r="EN1" s="9"/>
      <c r="EO1" s="9"/>
      <c r="EP1" s="9"/>
      <c r="EQ1" s="9"/>
      <c r="ER1" s="9"/>
      <c r="ES1" s="9"/>
      <c r="ET1" s="9"/>
      <c r="EU1" s="9"/>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row>
    <row r="2" spans="1:198" ht="35.1" customHeight="1" x14ac:dyDescent="0.3">
      <c r="B2" s="46" t="s">
        <v>1128</v>
      </c>
      <c r="C2" s="46"/>
      <c r="D2" s="46"/>
      <c r="E2" s="46"/>
      <c r="F2" s="49"/>
      <c r="G2" s="49"/>
      <c r="H2" s="49"/>
      <c r="I2" s="46" t="s">
        <v>1147</v>
      </c>
      <c r="J2" s="46"/>
      <c r="K2" s="46"/>
      <c r="L2" s="46"/>
      <c r="M2" s="46"/>
    </row>
    <row r="3" spans="1:198" ht="99.95" customHeight="1" x14ac:dyDescent="0.3">
      <c r="B3" s="50" t="s">
        <v>1148</v>
      </c>
      <c r="C3" s="50"/>
      <c r="D3" s="31">
        <f>GETPIVOTDATA("AdmissionID",Analytics!$B$16)</f>
        <v>278</v>
      </c>
      <c r="F3" s="30"/>
      <c r="G3" s="25"/>
      <c r="H3" s="25"/>
      <c r="I3" s="28"/>
      <c r="J3" s="28"/>
      <c r="K3" s="28"/>
      <c r="L3" s="28"/>
      <c r="M3" s="28"/>
    </row>
    <row r="4" spans="1:198" ht="99.95" customHeight="1" x14ac:dyDescent="0.3">
      <c r="B4" s="50" t="s">
        <v>1149</v>
      </c>
      <c r="C4" s="50"/>
      <c r="D4" s="32">
        <f>GETPIVOTDATA("LengthOfStay",Analytics!$B$24)</f>
        <v>3.8776978417266186</v>
      </c>
      <c r="F4" s="28"/>
      <c r="I4" s="28"/>
      <c r="J4" s="28"/>
      <c r="K4" s="28"/>
      <c r="L4" s="28"/>
      <c r="M4" s="28"/>
    </row>
    <row r="5" spans="1:198" ht="99.95" customHeight="1" x14ac:dyDescent="0.3">
      <c r="B5" s="50" t="s">
        <v>1151</v>
      </c>
      <c r="C5" s="50"/>
      <c r="D5" s="23">
        <f>GETPIVOTDATA("Treatments.TreatmentCost",Analytics!$B$20)</f>
        <v>73710</v>
      </c>
      <c r="F5" s="28"/>
      <c r="I5" s="28"/>
      <c r="J5" s="28"/>
      <c r="K5" s="28"/>
      <c r="L5" s="28"/>
      <c r="M5" s="28"/>
    </row>
    <row r="6" spans="1:198" ht="21" customHeight="1" x14ac:dyDescent="0.3">
      <c r="B6" s="13"/>
      <c r="I6" s="28"/>
      <c r="J6" s="28"/>
      <c r="K6" s="28"/>
      <c r="L6" s="28"/>
      <c r="M6" s="28"/>
    </row>
    <row r="7" spans="1:198" ht="35.1" customHeight="1" x14ac:dyDescent="0.3">
      <c r="B7" s="46" t="s">
        <v>1152</v>
      </c>
      <c r="C7" s="46"/>
      <c r="D7" s="46"/>
      <c r="E7" s="46"/>
      <c r="F7" s="46"/>
      <c r="G7" s="12"/>
      <c r="H7" s="46" t="s">
        <v>1153</v>
      </c>
      <c r="I7" s="46"/>
      <c r="J7" s="46"/>
      <c r="K7" s="46"/>
      <c r="L7" s="46"/>
      <c r="M7" s="46"/>
    </row>
    <row r="8" spans="1:198" ht="155.1" customHeight="1" x14ac:dyDescent="0.3">
      <c r="B8" s="28"/>
      <c r="C8" s="28"/>
      <c r="D8" s="28"/>
      <c r="E8" s="28"/>
      <c r="F8" s="28"/>
      <c r="I8" s="28"/>
      <c r="J8" s="28"/>
      <c r="K8" s="28"/>
      <c r="L8" s="28"/>
      <c r="M8" s="28"/>
    </row>
    <row r="9" spans="1:198" x14ac:dyDescent="0.3">
      <c r="B9" s="28"/>
      <c r="C9" s="28"/>
      <c r="D9" s="28"/>
      <c r="E9" s="28"/>
      <c r="F9" s="28"/>
      <c r="I9" s="28"/>
      <c r="J9" s="28"/>
      <c r="K9" s="28"/>
      <c r="L9" s="28"/>
      <c r="M9" s="28"/>
    </row>
    <row r="10" spans="1:198" ht="24" customHeight="1" x14ac:dyDescent="0.3">
      <c r="B10" s="28"/>
      <c r="C10" s="29"/>
      <c r="D10" s="29"/>
      <c r="E10" s="29"/>
      <c r="F10" s="27"/>
      <c r="G10" s="12"/>
      <c r="H10" s="12"/>
      <c r="I10" s="28"/>
      <c r="J10" s="28"/>
      <c r="K10" s="28"/>
      <c r="L10" s="28"/>
      <c r="M10" s="28"/>
    </row>
    <row r="11" spans="1:198" ht="155.1" customHeight="1" x14ac:dyDescent="0.3">
      <c r="B11" s="28"/>
      <c r="C11" s="28"/>
      <c r="D11" s="28"/>
      <c r="E11" s="28"/>
      <c r="F11" s="28"/>
      <c r="I11" s="28"/>
      <c r="J11" s="28"/>
      <c r="K11" s="28"/>
      <c r="L11" s="28"/>
      <c r="M11" s="28"/>
    </row>
    <row r="12" spans="1:198" ht="9.9499999999999993" customHeight="1" x14ac:dyDescent="0.3">
      <c r="B12" s="13"/>
      <c r="D12" s="28"/>
      <c r="E12" s="28"/>
      <c r="F12" s="28"/>
      <c r="G12" s="28"/>
      <c r="H12" s="28"/>
      <c r="I12" s="28"/>
      <c r="J12" s="28"/>
      <c r="K12" s="28"/>
      <c r="L12" s="28"/>
      <c r="M12" s="28"/>
    </row>
    <row r="13" spans="1:198" s="14" customFormat="1" ht="45" customHeight="1" x14ac:dyDescent="0.25">
      <c r="A13"/>
      <c r="B13"/>
      <c r="C13"/>
      <c r="D13" s="38"/>
      <c r="E13" s="38"/>
      <c r="F13" s="38"/>
      <c r="G13" s="38"/>
      <c r="H13" s="38"/>
      <c r="I13" s="38"/>
      <c r="J13" s="38"/>
      <c r="K13" s="38"/>
      <c r="L13" s="38"/>
      <c r="M13" s="38"/>
    </row>
    <row r="14" spans="1:198" ht="30" customHeight="1" x14ac:dyDescent="0.3">
      <c r="B14" s="48" t="s">
        <v>1129</v>
      </c>
      <c r="C14" s="48"/>
      <c r="D14" s="16"/>
    </row>
    <row r="15" spans="1:198" ht="30" customHeight="1" x14ac:dyDescent="0.3">
      <c r="B15" s="40" t="s">
        <v>1130</v>
      </c>
      <c r="C15" s="40" t="s">
        <v>1131</v>
      </c>
      <c r="D15" s="40" t="s">
        <v>1132</v>
      </c>
      <c r="E15" s="41" t="s">
        <v>1133</v>
      </c>
      <c r="F15" s="41" t="s">
        <v>1134</v>
      </c>
      <c r="G15" s="41" t="s">
        <v>1135</v>
      </c>
      <c r="H15" s="42" t="s">
        <v>1136</v>
      </c>
      <c r="I15" s="42" t="s">
        <v>1137</v>
      </c>
      <c r="J15" s="42" t="s">
        <v>1138</v>
      </c>
      <c r="K15" s="43" t="s">
        <v>1139</v>
      </c>
      <c r="L15" s="43" t="s">
        <v>1140</v>
      </c>
      <c r="M15" s="43" t="s">
        <v>1141</v>
      </c>
    </row>
    <row r="16" spans="1:198" ht="30" customHeight="1" x14ac:dyDescent="0.3">
      <c r="B16" s="33">
        <f>GETPIVOTDATA("Treatments.TreatmentCost",Analytics!$J$33,"AdmissionMonth","January")</f>
        <v>3710</v>
      </c>
      <c r="C16" s="33">
        <f>GETPIVOTDATA("Treatments.TreatmentCost",Analytics!$J$33,"AdmissionMonth","February")</f>
        <v>10730</v>
      </c>
      <c r="D16" s="34">
        <f>GETPIVOTDATA("Treatments.TreatmentCost",Analytics!$J$33,"AdmissionMonth","March")</f>
        <v>10300</v>
      </c>
      <c r="E16" s="35">
        <f>GETPIVOTDATA("Treatments.TreatmentCost",Analytics!$J$33,"AdmissionMonth","April")</f>
        <v>8185</v>
      </c>
      <c r="F16" s="35">
        <f>GETPIVOTDATA("Treatments.TreatmentCost",Analytics!$J$33,"AdmissionMonth","May")</f>
        <v>6135</v>
      </c>
      <c r="G16" s="35">
        <f>GETPIVOTDATA("Treatments.TreatmentCost",Analytics!$J$33,"AdmissionMonth","June")</f>
        <v>8650</v>
      </c>
      <c r="H16" s="35">
        <f>GETPIVOTDATA("Treatments.TreatmentCost",Analytics!$J$33,"AdmissionMonth","July")</f>
        <v>6645</v>
      </c>
      <c r="I16" s="35">
        <f>GETPIVOTDATA("Treatments.TreatmentCost",Analytics!$J$33,"AdmissionMonth","August")</f>
        <v>6305</v>
      </c>
      <c r="J16" s="35">
        <f>GETPIVOTDATA("Treatments.TreatmentCost",Analytics!$J$33,"AdmissionMonth","September")</f>
        <v>5195</v>
      </c>
      <c r="K16" s="35">
        <f>GETPIVOTDATA("Treatments.TreatmentCost",Analytics!$J$33,"AdmissionMonth","October")</f>
        <v>2865</v>
      </c>
      <c r="L16" s="35">
        <f>GETPIVOTDATA("Treatments.TreatmentCost",Analytics!$J$33,"AdmissionMonth","November")</f>
        <v>1640</v>
      </c>
      <c r="M16" s="35">
        <f>GETPIVOTDATA("Treatments.TreatmentCost",Analytics!$J$33,"AdmissionMonth","December")</f>
        <v>3350</v>
      </c>
    </row>
    <row r="17" spans="2:13" ht="17.25" customHeight="1" x14ac:dyDescent="0.3">
      <c r="B17" s="17"/>
      <c r="C17" s="17"/>
      <c r="D17" s="17"/>
      <c r="E17" s="18"/>
      <c r="F17" s="18"/>
      <c r="G17" s="19"/>
      <c r="H17" s="19"/>
      <c r="I17" s="19"/>
      <c r="J17" s="19"/>
      <c r="K17" s="19"/>
      <c r="L17" s="19"/>
      <c r="M17" s="19"/>
    </row>
    <row r="18" spans="2:13" ht="30" customHeight="1" x14ac:dyDescent="0.3">
      <c r="B18" s="48" t="s">
        <v>1142</v>
      </c>
      <c r="C18" s="48"/>
      <c r="D18" s="16"/>
    </row>
    <row r="19" spans="2:13" ht="30" customHeight="1" x14ac:dyDescent="0.3">
      <c r="B19" s="40" t="s">
        <v>1143</v>
      </c>
      <c r="C19" s="44" t="s">
        <v>1144</v>
      </c>
      <c r="D19" s="45" t="s">
        <v>1145</v>
      </c>
      <c r="E19" s="43" t="s">
        <v>1146</v>
      </c>
      <c r="F19" s="20"/>
      <c r="G19" s="21"/>
      <c r="H19" s="21"/>
      <c r="I19" s="21"/>
      <c r="J19" s="21"/>
      <c r="K19" s="21"/>
      <c r="L19" s="21"/>
      <c r="M19" s="21"/>
    </row>
    <row r="20" spans="2:13" ht="30" customHeight="1" x14ac:dyDescent="0.3">
      <c r="B20" s="36">
        <f>SUM(B16:D16)</f>
        <v>24740</v>
      </c>
      <c r="C20" s="36">
        <f>SUM(E16:G16)</f>
        <v>22970</v>
      </c>
      <c r="D20" s="36">
        <f>SUM(H16:J16)</f>
        <v>18145</v>
      </c>
      <c r="E20" s="37">
        <f>SUM(K16:M16)</f>
        <v>7855</v>
      </c>
      <c r="F20" s="22"/>
      <c r="G20" s="19"/>
      <c r="H20" s="19"/>
      <c r="I20" s="19"/>
      <c r="J20" s="19"/>
      <c r="K20" s="19"/>
      <c r="L20" s="19"/>
      <c r="M20" s="19"/>
    </row>
    <row r="21" spans="2:13" ht="17.25" customHeight="1" x14ac:dyDescent="0.3">
      <c r="B21" s="15"/>
      <c r="C21" s="15"/>
      <c r="D21" s="15"/>
      <c r="F21" s="15"/>
      <c r="G21" s="15"/>
      <c r="H21" s="15"/>
    </row>
    <row r="22" spans="2:13" ht="30" customHeight="1" x14ac:dyDescent="0.3"/>
    <row r="23" spans="2:13" ht="30" customHeight="1" x14ac:dyDescent="0.3"/>
    <row r="24" spans="2:13" ht="30" customHeight="1" x14ac:dyDescent="0.3"/>
    <row r="25" spans="2:13" ht="17.25" customHeight="1" x14ac:dyDescent="0.3"/>
    <row r="26" spans="2:13" ht="30" customHeight="1" x14ac:dyDescent="0.3"/>
    <row r="27" spans="2:13" ht="30" customHeight="1" x14ac:dyDescent="0.3"/>
    <row r="28" spans="2:13" ht="30" customHeight="1" x14ac:dyDescent="0.3"/>
  </sheetData>
  <mergeCells count="11">
    <mergeCell ref="H7:M7"/>
    <mergeCell ref="B7:F7"/>
    <mergeCell ref="B1:J1"/>
    <mergeCell ref="B14:C14"/>
    <mergeCell ref="B18:C18"/>
    <mergeCell ref="F2:H2"/>
    <mergeCell ref="I2:M2"/>
    <mergeCell ref="B3:C3"/>
    <mergeCell ref="B4:C4"/>
    <mergeCell ref="B5:C5"/>
    <mergeCell ref="B2:E2"/>
  </mergeCells>
  <pageMargins left="0.4" right="0.4" top="0.4" bottom="0.4" header="0" footer="0"/>
  <pageSetup scale="54" fitToHeight="0" orientation="landscape" horizontalDpi="4294967292" verticalDpi="4294967292"/>
  <rowBreaks count="1" manualBreakCount="1">
    <brk id="12" max="16383" man="1"/>
  </rowBreaks>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DB994A-C18B-408F-AEF1-86A9511FDE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Treatments</vt:lpstr>
      <vt:lpstr>Patients</vt:lpstr>
      <vt:lpstr>Doctors</vt:lpstr>
      <vt:lpstr>Data_Model</vt:lpstr>
      <vt:lpstr>Analytics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Caner Aydin</dc:creator>
  <cp:lastModifiedBy>Caner Aydin</cp:lastModifiedBy>
  <dcterms:created xsi:type="dcterms:W3CDTF">2015-06-05T18:17:20Z</dcterms:created>
  <dcterms:modified xsi:type="dcterms:W3CDTF">2026-04-19T22:13:23Z</dcterms:modified>
</cp:coreProperties>
</file>